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\\oakesnet_ds720\homes\oakespar\Drive\Personal Docs and Research\BibleMiner\2021-BibleStudies\"/>
    </mc:Choice>
  </mc:AlternateContent>
  <xr:revisionPtr revIDLastSave="0" documentId="13_ncr:1_{953552A3-6F75-4B2D-99F5-CE574BDE0614}" xr6:coauthVersionLast="47" xr6:coauthVersionMax="47" xr10:uidLastSave="{00000000-0000-0000-0000-000000000000}"/>
  <bookViews>
    <workbookView xWindow="29055" yWindow="240" windowWidth="28305" windowHeight="15720" activeTab="2" xr2:uid="{A090F710-A049-41F9-99FC-DC811DAD703D}"/>
  </bookViews>
  <sheets>
    <sheet name="shame_lex" sheetId="1" r:id="rId1"/>
    <sheet name="shame_tbl" sheetId="2" r:id="rId2"/>
    <sheet name="shame_mdl" sheetId="3" r:id="rId3"/>
    <sheet name="shame_snky" sheetId="4" r:id="rId4"/>
  </sheets>
  <definedNames>
    <definedName name="shame_lex_counts">OFFSET(shame_tbl!$C$2,,,COUNTA(shame_tbl!$C$2:$C$9999))</definedName>
    <definedName name="shame_strongs">OFFSET(shame_mdl!$J$2,,, COUNTA(shame_mdl!$J$2:$J$9999))</definedName>
    <definedName name="shame_strongs_arr">OFFSET(shame_tbl!$A$2,,,COUNTA(shame_tbl!$A$2:$A$9999))</definedName>
    <definedName name="shame_strongs_fltr">OFFSET(shame_mdl!$P$3,,, COUNTA(shame_mdl!$P$3:$P$9999))</definedName>
    <definedName name="shame_strongs_fltrLgc">OFFSET(shame_tbl!$E$2,,, COUNTA(shame_tbl!$E$2:$E$9999))</definedName>
    <definedName name="shame_strongs_ls" localSheetId="2">shame_mdl!$J1</definedName>
    <definedName name="shame_strongs_mean">shame_mdl!$C$2</definedName>
    <definedName name="shame_strongs_n" localSheetId="2">OFFSET(shame_mdl!$L$2,,,COUNTA(shame_mdl!$L$2:$L$9999))</definedName>
    <definedName name="shame_strongs_stdev">shame_mdl!$C$3</definedName>
    <definedName name="shame_strongs_weight">OFFSET(shame_mdl!$K$2,,,COUNTA(shame_mdl!$K$2:$K$9999))</definedName>
    <definedName name="shame_terms_arr">OFFSET(shame_tbl!$B$2,,,COUNTA(shame_tbl!$B$2:$B$9999))</definedName>
    <definedName name="shame_terms_ls" localSheetId="2">shame_mdl!$S1</definedName>
    <definedName name="shame_terms_mean">shame_mdl!$D$2</definedName>
    <definedName name="shame_terms_n" localSheetId="2">OFFSET(shame_mdl!$U$2,,, COUNTA(shame_mdl!$U$2:$U$9999))</definedName>
    <definedName name="shame_terms_stdev">shame_mdl!$D$3</definedName>
    <definedName name="shame_terms_weight" localSheetId="2">OFFSET(shame_mdl!$T$2,,, COUNTA(shame_mdl!$T$2:$T$9999))</definedName>
    <definedName name="shame_zRnd">OFFSET(shame_mdl!$N$2,,, COUNTA(shame_mdl!$N$2:$N$9999))</definedName>
    <definedName name="strongs_ls" localSheetId="1">shame_tbl!$A1</definedName>
    <definedName name="strongs_n" localSheetId="2">shame_mdl!$L1</definedName>
    <definedName name="strongs_z" localSheetId="2">shame_mdl!$M1</definedName>
    <definedName name="terms_n" localSheetId="2">shame_mdl!$U1</definedName>
    <definedName name="terms_z" localSheetId="2">shame_mdl!$V1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3" l="1" a="1"/>
  <c r="J2" i="3" s="1"/>
  <c r="K2" i="3" s="1" a="1"/>
  <c r="K2" i="3" s="1"/>
  <c r="L2" i="3" l="1" a="1"/>
  <c r="L2" i="3" s="1"/>
  <c r="L30" i="3" a="1"/>
  <c r="L30" i="3" s="1"/>
  <c r="L26" i="3" a="1"/>
  <c r="L26" i="3" s="1"/>
  <c r="L22" i="3" a="1"/>
  <c r="L22" i="3" s="1"/>
  <c r="L18" i="3" a="1"/>
  <c r="L18" i="3" s="1"/>
  <c r="L14" i="3" a="1"/>
  <c r="L14" i="3" s="1"/>
  <c r="L10" i="3" a="1"/>
  <c r="L10" i="3" s="1"/>
  <c r="L6" i="3" a="1"/>
  <c r="L6" i="3" s="1"/>
  <c r="L33" i="3" a="1"/>
  <c r="L33" i="3" s="1"/>
  <c r="L29" i="3" a="1"/>
  <c r="L29" i="3" s="1"/>
  <c r="L25" i="3" a="1"/>
  <c r="L25" i="3" s="1"/>
  <c r="L21" i="3" a="1"/>
  <c r="L21" i="3" s="1"/>
  <c r="L17" i="3" a="1"/>
  <c r="L17" i="3" s="1"/>
  <c r="L13" i="3" a="1"/>
  <c r="L13" i="3" s="1"/>
  <c r="L9" i="3" a="1"/>
  <c r="L9" i="3" s="1"/>
  <c r="L5" i="3" a="1"/>
  <c r="L5" i="3" s="1"/>
  <c r="L32" i="3" a="1"/>
  <c r="L32" i="3" s="1"/>
  <c r="L28" i="3" a="1"/>
  <c r="L28" i="3" s="1"/>
  <c r="L24" i="3" a="1"/>
  <c r="L24" i="3" s="1"/>
  <c r="L20" i="3" a="1"/>
  <c r="L20" i="3" s="1"/>
  <c r="L16" i="3" a="1"/>
  <c r="L16" i="3" s="1"/>
  <c r="L12" i="3" a="1"/>
  <c r="L12" i="3" s="1"/>
  <c r="L8" i="3" a="1"/>
  <c r="L8" i="3" s="1"/>
  <c r="L4" i="3" a="1"/>
  <c r="L4" i="3" s="1"/>
  <c r="L31" i="3" a="1"/>
  <c r="L31" i="3" s="1"/>
  <c r="L27" i="3" a="1"/>
  <c r="L27" i="3" s="1"/>
  <c r="L23" i="3" a="1"/>
  <c r="L23" i="3" s="1"/>
  <c r="L19" i="3" a="1"/>
  <c r="L19" i="3" s="1"/>
  <c r="L15" i="3" a="1"/>
  <c r="L15" i="3" s="1"/>
  <c r="L11" i="3" a="1"/>
  <c r="L11" i="3" s="1"/>
  <c r="L7" i="3" a="1"/>
  <c r="L7" i="3" s="1"/>
  <c r="L3" i="3" a="1"/>
  <c r="L3" i="3" s="1"/>
  <c r="K30" i="3" a="1"/>
  <c r="K30" i="3" s="1"/>
  <c r="K26" i="3" a="1"/>
  <c r="K26" i="3" s="1"/>
  <c r="K22" i="3" a="1"/>
  <c r="K22" i="3" s="1"/>
  <c r="K18" i="3" a="1"/>
  <c r="K18" i="3" s="1"/>
  <c r="K14" i="3" a="1"/>
  <c r="K14" i="3" s="1"/>
  <c r="K10" i="3" a="1"/>
  <c r="K10" i="3" s="1"/>
  <c r="K6" i="3" a="1"/>
  <c r="K6" i="3" s="1"/>
  <c r="K33" i="3" a="1"/>
  <c r="K33" i="3" s="1"/>
  <c r="K29" i="3" a="1"/>
  <c r="K29" i="3" s="1"/>
  <c r="K25" i="3" a="1"/>
  <c r="K25" i="3" s="1"/>
  <c r="K21" i="3" a="1"/>
  <c r="K21" i="3" s="1"/>
  <c r="K17" i="3" a="1"/>
  <c r="K17" i="3" s="1"/>
  <c r="K13" i="3" a="1"/>
  <c r="K13" i="3" s="1"/>
  <c r="K9" i="3" a="1"/>
  <c r="K9" i="3" s="1"/>
  <c r="K5" i="3" a="1"/>
  <c r="K5" i="3" s="1"/>
  <c r="K32" i="3" a="1"/>
  <c r="K32" i="3" s="1"/>
  <c r="K28" i="3" a="1"/>
  <c r="K28" i="3" s="1"/>
  <c r="K24" i="3" a="1"/>
  <c r="K24" i="3" s="1"/>
  <c r="K20" i="3" a="1"/>
  <c r="K20" i="3" s="1"/>
  <c r="K16" i="3" a="1"/>
  <c r="K16" i="3" s="1"/>
  <c r="K12" i="3" a="1"/>
  <c r="K12" i="3" s="1"/>
  <c r="K8" i="3" a="1"/>
  <c r="K8" i="3" s="1"/>
  <c r="K4" i="3" a="1"/>
  <c r="K4" i="3" s="1"/>
  <c r="K31" i="3" a="1"/>
  <c r="K31" i="3" s="1"/>
  <c r="K27" i="3" a="1"/>
  <c r="K27" i="3" s="1"/>
  <c r="K23" i="3" a="1"/>
  <c r="K23" i="3" s="1"/>
  <c r="K19" i="3" a="1"/>
  <c r="K19" i="3" s="1"/>
  <c r="K15" i="3" a="1"/>
  <c r="K15" i="3" s="1"/>
  <c r="K11" i="3" a="1"/>
  <c r="K11" i="3" s="1"/>
  <c r="K7" i="3" a="1"/>
  <c r="K7" i="3" s="1"/>
  <c r="K3" i="3" a="1"/>
  <c r="K3" i="3" s="1"/>
  <c r="C2" i="3" l="1"/>
  <c r="C3" i="3" s="1" a="1"/>
  <c r="C3" i="3" s="1"/>
  <c r="M18" i="3" l="1"/>
  <c r="N18" i="3" s="1"/>
  <c r="M33" i="3"/>
  <c r="N33" i="3" s="1"/>
  <c r="M25" i="3"/>
  <c r="N25" i="3" s="1"/>
  <c r="M9" i="3"/>
  <c r="N9" i="3" s="1"/>
  <c r="M32" i="3"/>
  <c r="N32" i="3" s="1"/>
  <c r="M24" i="3"/>
  <c r="N24" i="3" s="1"/>
  <c r="M16" i="3"/>
  <c r="N16" i="3" s="1"/>
  <c r="M8" i="3"/>
  <c r="N8" i="3" s="1"/>
  <c r="M31" i="3"/>
  <c r="N31" i="3" s="1"/>
  <c r="M15" i="3"/>
  <c r="N15" i="3" s="1"/>
  <c r="M7" i="3"/>
  <c r="N7" i="3" s="1"/>
  <c r="M10" i="3"/>
  <c r="N10" i="3" s="1"/>
  <c r="M23" i="3"/>
  <c r="N23" i="3" s="1"/>
  <c r="M30" i="3"/>
  <c r="N30" i="3" s="1"/>
  <c r="M22" i="3"/>
  <c r="N22" i="3" s="1"/>
  <c r="M14" i="3"/>
  <c r="N14" i="3" s="1"/>
  <c r="M6" i="3"/>
  <c r="N6" i="3" s="1"/>
  <c r="M29" i="3"/>
  <c r="N29" i="3" s="1"/>
  <c r="M21" i="3"/>
  <c r="N21" i="3" s="1"/>
  <c r="M13" i="3"/>
  <c r="N13" i="3" s="1"/>
  <c r="M5" i="3"/>
  <c r="N5" i="3" s="1"/>
  <c r="M28" i="3"/>
  <c r="N28" i="3" s="1"/>
  <c r="M20" i="3"/>
  <c r="N20" i="3" s="1"/>
  <c r="M12" i="3"/>
  <c r="N12" i="3" s="1"/>
  <c r="M4" i="3"/>
  <c r="N4" i="3" s="1"/>
  <c r="M27" i="3"/>
  <c r="N27" i="3" s="1"/>
  <c r="M19" i="3"/>
  <c r="N19" i="3" s="1"/>
  <c r="M11" i="3"/>
  <c r="N11" i="3" s="1"/>
  <c r="M3" i="3"/>
  <c r="N3" i="3" s="1"/>
  <c r="M26" i="3"/>
  <c r="N26" i="3" s="1"/>
  <c r="M17" i="3"/>
  <c r="N17" i="3" s="1"/>
  <c r="M2" i="3"/>
  <c r="N2" i="3" s="1"/>
  <c r="P3" i="3" l="1" a="1"/>
  <c r="P3" i="3" s="1"/>
  <c r="E3" i="2" s="1" a="1"/>
  <c r="E3" i="2" s="1"/>
  <c r="E78" i="2" l="1" a="1"/>
  <c r="E78" i="2" s="1"/>
  <c r="E46" i="2" a="1"/>
  <c r="E46" i="2" s="1"/>
  <c r="E14" i="2" a="1"/>
  <c r="E14" i="2" s="1"/>
  <c r="E81" i="2" a="1"/>
  <c r="E81" i="2" s="1"/>
  <c r="E49" i="2" a="1"/>
  <c r="E49" i="2" s="1"/>
  <c r="E17" i="2" a="1"/>
  <c r="E17" i="2" s="1"/>
  <c r="E84" i="2" a="1"/>
  <c r="E84" i="2" s="1"/>
  <c r="E52" i="2" a="1"/>
  <c r="E52" i="2" s="1"/>
  <c r="E20" i="2" a="1"/>
  <c r="E20" i="2" s="1"/>
  <c r="E87" i="2" a="1"/>
  <c r="E87" i="2" s="1"/>
  <c r="E55" i="2" a="1"/>
  <c r="E55" i="2" s="1"/>
  <c r="E23" i="2" a="1"/>
  <c r="E23" i="2" s="1"/>
  <c r="E54" i="2" a="1"/>
  <c r="E54" i="2" s="1"/>
  <c r="E22" i="2" a="1"/>
  <c r="E22" i="2" s="1"/>
  <c r="E25" i="2" a="1"/>
  <c r="E25" i="2" s="1"/>
  <c r="E28" i="2" a="1"/>
  <c r="E28" i="2" s="1"/>
  <c r="E95" i="2" a="1"/>
  <c r="E95" i="2" s="1"/>
  <c r="E2" i="2" a="1"/>
  <c r="E2" i="2" s="1"/>
  <c r="E50" i="2" a="1"/>
  <c r="E50" i="2" s="1"/>
  <c r="E53" i="2" a="1"/>
  <c r="E53" i="2" s="1"/>
  <c r="E88" i="2" a="1"/>
  <c r="E88" i="2" s="1"/>
  <c r="E24" i="2" a="1"/>
  <c r="E24" i="2" s="1"/>
  <c r="E27" i="2" a="1"/>
  <c r="E27" i="2" s="1"/>
  <c r="E10" i="2" a="1"/>
  <c r="E10" i="2" s="1"/>
  <c r="E13" i="2" a="1"/>
  <c r="E13" i="2" s="1"/>
  <c r="E16" i="2" a="1"/>
  <c r="E16" i="2" s="1"/>
  <c r="E19" i="2" a="1"/>
  <c r="E19" i="2" s="1"/>
  <c r="E102" i="2" a="1"/>
  <c r="E102" i="2" s="1"/>
  <c r="E6" i="2" a="1"/>
  <c r="E6" i="2" s="1"/>
  <c r="E9" i="2" a="1"/>
  <c r="E9" i="2" s="1"/>
  <c r="E12" i="2" a="1"/>
  <c r="E12" i="2" s="1"/>
  <c r="E15" i="2" a="1"/>
  <c r="E15" i="2" s="1"/>
  <c r="E98" i="2" a="1"/>
  <c r="E98" i="2" s="1"/>
  <c r="E66" i="2" a="1"/>
  <c r="E66" i="2" s="1"/>
  <c r="E34" i="2" a="1"/>
  <c r="E34" i="2" s="1"/>
  <c r="E101" i="2" a="1"/>
  <c r="E101" i="2" s="1"/>
  <c r="E69" i="2" a="1"/>
  <c r="E69" i="2" s="1"/>
  <c r="E37" i="2" a="1"/>
  <c r="E37" i="2" s="1"/>
  <c r="E5" i="2" a="1"/>
  <c r="E5" i="2" s="1"/>
  <c r="E72" i="2" a="1"/>
  <c r="E72" i="2" s="1"/>
  <c r="E40" i="2" a="1"/>
  <c r="E40" i="2" s="1"/>
  <c r="E8" i="2" a="1"/>
  <c r="E8" i="2" s="1"/>
  <c r="E75" i="2" a="1"/>
  <c r="E75" i="2" s="1"/>
  <c r="E43" i="2" a="1"/>
  <c r="E43" i="2" s="1"/>
  <c r="E11" i="2" a="1"/>
  <c r="E11" i="2" s="1"/>
  <c r="E89" i="2" a="1"/>
  <c r="E89" i="2" s="1"/>
  <c r="E92" i="2" a="1"/>
  <c r="E92" i="2" s="1"/>
  <c r="E63" i="2" a="1"/>
  <c r="E63" i="2" s="1"/>
  <c r="E82" i="2" a="1"/>
  <c r="E82" i="2" s="1"/>
  <c r="E18" i="2" a="1"/>
  <c r="E18" i="2" s="1"/>
  <c r="E21" i="2" a="1"/>
  <c r="E21" i="2" s="1"/>
  <c r="E91" i="2" a="1"/>
  <c r="E91" i="2" s="1"/>
  <c r="E74" i="2" a="1"/>
  <c r="E74" i="2" s="1"/>
  <c r="E45" i="2" a="1"/>
  <c r="E45" i="2" s="1"/>
  <c r="E48" i="2" a="1"/>
  <c r="E48" i="2" s="1"/>
  <c r="E83" i="2" a="1"/>
  <c r="E83" i="2" s="1"/>
  <c r="E70" i="2" a="1"/>
  <c r="E70" i="2" s="1"/>
  <c r="E73" i="2" a="1"/>
  <c r="E73" i="2" s="1"/>
  <c r="E76" i="2" a="1"/>
  <c r="E76" i="2" s="1"/>
  <c r="E47" i="2" a="1"/>
  <c r="E47" i="2" s="1"/>
  <c r="E94" i="2" a="1"/>
  <c r="E94" i="2" s="1"/>
  <c r="E62" i="2" a="1"/>
  <c r="E62" i="2" s="1"/>
  <c r="E30" i="2" a="1"/>
  <c r="E30" i="2" s="1"/>
  <c r="E97" i="2" a="1"/>
  <c r="E97" i="2" s="1"/>
  <c r="E65" i="2" a="1"/>
  <c r="E65" i="2" s="1"/>
  <c r="E33" i="2" a="1"/>
  <c r="E33" i="2" s="1"/>
  <c r="E100" i="2" a="1"/>
  <c r="E100" i="2" s="1"/>
  <c r="E68" i="2" a="1"/>
  <c r="E68" i="2" s="1"/>
  <c r="E36" i="2" a="1"/>
  <c r="E36" i="2" s="1"/>
  <c r="E4" i="2" a="1"/>
  <c r="E4" i="2" s="1"/>
  <c r="E71" i="2" a="1"/>
  <c r="E71" i="2" s="1"/>
  <c r="E39" i="2" a="1"/>
  <c r="E39" i="2" s="1"/>
  <c r="E7" i="2" a="1"/>
  <c r="E7" i="2" s="1"/>
  <c r="E86" i="2" a="1"/>
  <c r="E86" i="2" s="1"/>
  <c r="E57" i="2" a="1"/>
  <c r="E57" i="2" s="1"/>
  <c r="E60" i="2" a="1"/>
  <c r="E60" i="2" s="1"/>
  <c r="E31" i="2" a="1"/>
  <c r="E31" i="2" s="1"/>
  <c r="E85" i="2" a="1"/>
  <c r="E85" i="2" s="1"/>
  <c r="E56" i="2" a="1"/>
  <c r="E56" i="2" s="1"/>
  <c r="E59" i="2" a="1"/>
  <c r="E59" i="2" s="1"/>
  <c r="E42" i="2" a="1"/>
  <c r="E42" i="2" s="1"/>
  <c r="E77" i="2" a="1"/>
  <c r="E77" i="2" s="1"/>
  <c r="E80" i="2" a="1"/>
  <c r="E80" i="2" s="1"/>
  <c r="E51" i="2" a="1"/>
  <c r="E51" i="2" s="1"/>
  <c r="E38" i="2" a="1"/>
  <c r="E38" i="2" s="1"/>
  <c r="E41" i="2" a="1"/>
  <c r="E41" i="2" s="1"/>
  <c r="E44" i="2" a="1"/>
  <c r="E44" i="2" s="1"/>
  <c r="E79" i="2" a="1"/>
  <c r="E79" i="2" s="1"/>
  <c r="E90" i="2" a="1"/>
  <c r="E90" i="2" s="1"/>
  <c r="E58" i="2" a="1"/>
  <c r="E58" i="2" s="1"/>
  <c r="E26" i="2" a="1"/>
  <c r="E26" i="2" s="1"/>
  <c r="E93" i="2" a="1"/>
  <c r="E93" i="2" s="1"/>
  <c r="E61" i="2" a="1"/>
  <c r="E61" i="2" s="1"/>
  <c r="E29" i="2" a="1"/>
  <c r="E29" i="2" s="1"/>
  <c r="E96" i="2" a="1"/>
  <c r="E96" i="2" s="1"/>
  <c r="E64" i="2" a="1"/>
  <c r="E64" i="2" s="1"/>
  <c r="E32" i="2" a="1"/>
  <c r="E32" i="2" s="1"/>
  <c r="E99" i="2" a="1"/>
  <c r="E99" i="2" s="1"/>
  <c r="E67" i="2" a="1"/>
  <c r="E67" i="2" s="1"/>
  <c r="E35" i="2" a="1"/>
  <c r="E35" i="2" s="1"/>
  <c r="S2" i="3" l="1" a="1"/>
  <c r="U3" i="3" s="1" a="1"/>
  <c r="U3" i="3" s="1"/>
  <c r="U21" i="3" l="1" a="1"/>
  <c r="U21" i="3" s="1"/>
  <c r="U13" i="3" a="1"/>
  <c r="U13" i="3" s="1"/>
  <c r="T16" i="3" a="1"/>
  <c r="T16" i="3" s="1"/>
  <c r="T18" i="3" a="1"/>
  <c r="T18" i="3" s="1"/>
  <c r="T17" i="3" a="1"/>
  <c r="T17" i="3" s="1"/>
  <c r="T7" i="3" a="1"/>
  <c r="T7" i="3" s="1"/>
  <c r="U18" i="3" a="1"/>
  <c r="U18" i="3" s="1"/>
  <c r="U9" i="3" a="1"/>
  <c r="U9" i="3" s="1"/>
  <c r="U8" i="3" a="1"/>
  <c r="U8" i="3" s="1"/>
  <c r="T19" i="3" a="1"/>
  <c r="T19" i="3" s="1"/>
  <c r="T23" i="3" a="1"/>
  <c r="T23" i="3" s="1"/>
  <c r="T15" i="3" a="1"/>
  <c r="T15" i="3" s="1"/>
  <c r="U26" i="3" a="1"/>
  <c r="U26" i="3" s="1"/>
  <c r="T27" i="3" a="1"/>
  <c r="T27" i="3" s="1"/>
  <c r="T14" i="3" a="1"/>
  <c r="T14" i="3" s="1"/>
  <c r="T5" i="3" a="1"/>
  <c r="T5" i="3" s="1"/>
  <c r="T3" i="3" a="1"/>
  <c r="T3" i="3" s="1"/>
  <c r="U10" i="3" a="1"/>
  <c r="U10" i="3" s="1"/>
  <c r="U28" i="3" a="1"/>
  <c r="U28" i="3" s="1"/>
  <c r="U15" i="3" a="1"/>
  <c r="U15" i="3" s="1"/>
  <c r="T12" i="3" a="1"/>
  <c r="T12" i="3" s="1"/>
  <c r="U5" i="3" a="1"/>
  <c r="U5" i="3" s="1"/>
  <c r="U20" i="3" a="1"/>
  <c r="U20" i="3" s="1"/>
  <c r="U12" i="3" a="1"/>
  <c r="U12" i="3" s="1"/>
  <c r="T22" i="3" a="1"/>
  <c r="T22" i="3" s="1"/>
  <c r="T10" i="3" a="1"/>
  <c r="T10" i="3" s="1"/>
  <c r="T4" i="3" a="1"/>
  <c r="T4" i="3" s="1"/>
  <c r="S2" i="3"/>
  <c r="U23" i="3" a="1"/>
  <c r="U23" i="3" s="1"/>
  <c r="U24" i="3" a="1"/>
  <c r="U24" i="3" s="1"/>
  <c r="U11" i="3" a="1"/>
  <c r="U11" i="3" s="1"/>
  <c r="T9" i="3" a="1"/>
  <c r="T9" i="3" s="1"/>
  <c r="U27" i="3" a="1"/>
  <c r="U27" i="3" s="1"/>
  <c r="T20" i="3" a="1"/>
  <c r="T20" i="3" s="1"/>
  <c r="T26" i="3" a="1"/>
  <c r="T26" i="3" s="1"/>
  <c r="T11" i="3" a="1"/>
  <c r="T11" i="3" s="1"/>
  <c r="T6" i="3" a="1"/>
  <c r="T6" i="3" s="1"/>
  <c r="T21" i="3" a="1"/>
  <c r="T21" i="3" s="1"/>
  <c r="T24" i="3" a="1"/>
  <c r="T24" i="3" s="1"/>
  <c r="U22" i="3" a="1"/>
  <c r="U22" i="3" s="1"/>
  <c r="U25" i="3" a="1"/>
  <c r="U25" i="3" s="1"/>
  <c r="U16" i="3" a="1"/>
  <c r="U16" i="3" s="1"/>
  <c r="U7" i="3" a="1"/>
  <c r="U7" i="3" s="1"/>
  <c r="U6" i="3" a="1"/>
  <c r="U6" i="3" s="1"/>
  <c r="U19" i="3" a="1"/>
  <c r="U19" i="3" s="1"/>
  <c r="T25" i="3" a="1"/>
  <c r="T25" i="3" s="1"/>
  <c r="T28" i="3" a="1"/>
  <c r="T28" i="3" s="1"/>
  <c r="T13" i="3" a="1"/>
  <c r="T13" i="3" s="1"/>
  <c r="T8" i="3" a="1"/>
  <c r="T8" i="3" s="1"/>
  <c r="U14" i="3" a="1"/>
  <c r="U14" i="3" s="1"/>
  <c r="U17" i="3" a="1"/>
  <c r="U17" i="3" s="1"/>
  <c r="U4" i="3" a="1"/>
  <c r="U4" i="3" s="1"/>
  <c r="F3" i="2"/>
  <c r="H3" i="2" s="1"/>
  <c r="F59" i="2"/>
  <c r="H59" i="2" s="1"/>
  <c r="F67" i="2"/>
  <c r="H67" i="2" s="1"/>
  <c r="F75" i="2"/>
  <c r="H75" i="2" s="1"/>
  <c r="F83" i="2"/>
  <c r="H83" i="2" s="1"/>
  <c r="F99" i="2"/>
  <c r="H99" i="2" s="1"/>
  <c r="F76" i="2"/>
  <c r="H76" i="2" s="1"/>
  <c r="F4" i="2"/>
  <c r="H4" i="2" s="1"/>
  <c r="F21" i="2"/>
  <c r="H21" i="2" s="1"/>
  <c r="F69" i="2"/>
  <c r="H69" i="2" s="1"/>
  <c r="F22" i="2"/>
  <c r="H22" i="2" s="1"/>
  <c r="F70" i="2"/>
  <c r="H70" i="2" s="1"/>
  <c r="F86" i="2"/>
  <c r="H86" i="2" s="1"/>
  <c r="F102" i="2"/>
  <c r="H102" i="2" s="1"/>
  <c r="F74" i="2"/>
  <c r="H74" i="2" s="1"/>
  <c r="F98" i="2"/>
  <c r="H98" i="2" s="1"/>
  <c r="F79" i="2"/>
  <c r="H79" i="2" s="1"/>
  <c r="F87" i="2"/>
  <c r="H87" i="2" s="1"/>
  <c r="F80" i="2"/>
  <c r="H80" i="2" s="1"/>
  <c r="F88" i="2"/>
  <c r="H88" i="2" s="1"/>
  <c r="F92" i="2"/>
  <c r="H92" i="2" s="1"/>
  <c r="F101" i="2"/>
  <c r="H101" i="2" s="1"/>
  <c r="F73" i="2"/>
  <c r="H73" i="2" s="1"/>
  <c r="F81" i="2"/>
  <c r="H81" i="2" s="1"/>
  <c r="F89" i="2"/>
  <c r="H89" i="2" s="1"/>
  <c r="F97" i="2"/>
  <c r="H97" i="2" s="1"/>
  <c r="F66" i="2"/>
  <c r="H66" i="2" s="1"/>
  <c r="T2" i="3" a="1"/>
  <c r="T2" i="3" s="1"/>
  <c r="F2" i="2"/>
  <c r="H2" i="2" s="1"/>
  <c r="U2" i="3" a="1"/>
  <c r="U2" i="3" s="1"/>
  <c r="D2" i="3" l="1"/>
  <c r="D3" i="3" l="1" a="1"/>
  <c r="D3" i="3" s="1"/>
  <c r="V20" i="3" s="1"/>
  <c r="W20" i="3" s="1"/>
  <c r="F44" i="2" l="1"/>
  <c r="H44" i="2" s="1"/>
  <c r="F71" i="2"/>
  <c r="H71" i="2" s="1"/>
  <c r="F53" i="2"/>
  <c r="H53" i="2" s="1"/>
  <c r="F56" i="2"/>
  <c r="H56" i="2" s="1"/>
  <c r="F25" i="2"/>
  <c r="H25" i="2" s="1"/>
  <c r="F91" i="2"/>
  <c r="H91" i="2" s="1"/>
  <c r="F29" i="2"/>
  <c r="H29" i="2" s="1"/>
  <c r="F77" i="2"/>
  <c r="H77" i="2" s="1"/>
  <c r="F8" i="2"/>
  <c r="H8" i="2" s="1"/>
  <c r="F72" i="2"/>
  <c r="H72" i="2" s="1"/>
  <c r="F49" i="2"/>
  <c r="H49" i="2" s="1"/>
  <c r="F60" i="2"/>
  <c r="H60" i="2" s="1"/>
  <c r="F84" i="2"/>
  <c r="H84" i="2" s="1"/>
  <c r="F16" i="2"/>
  <c r="H16" i="2" s="1"/>
  <c r="F14" i="2"/>
  <c r="H14" i="2" s="1"/>
  <c r="F96" i="2"/>
  <c r="H96" i="2" s="1"/>
  <c r="F90" i="2"/>
  <c r="H90" i="2" s="1"/>
  <c r="F15" i="2"/>
  <c r="H15" i="2" s="1"/>
  <c r="F65" i="2"/>
  <c r="H65" i="2" s="1"/>
  <c r="V15" i="3"/>
  <c r="W15" i="3" s="1"/>
  <c r="F12" i="2" s="1"/>
  <c r="H12" i="2" s="1"/>
  <c r="V23" i="3"/>
  <c r="W23" i="3" s="1"/>
  <c r="F40" i="2" s="1"/>
  <c r="H40" i="2" s="1"/>
  <c r="V3" i="3"/>
  <c r="W3" i="3" s="1"/>
  <c r="F45" i="2" s="1"/>
  <c r="H45" i="2" s="1"/>
  <c r="V4" i="3"/>
  <c r="W4" i="3" s="1"/>
  <c r="F38" i="2" s="1"/>
  <c r="H38" i="2" s="1"/>
  <c r="V28" i="3"/>
  <c r="W28" i="3" s="1"/>
  <c r="F33" i="2" s="1"/>
  <c r="H33" i="2" s="1"/>
  <c r="V14" i="3"/>
  <c r="W14" i="3" s="1"/>
  <c r="F63" i="2" s="1"/>
  <c r="H63" i="2" s="1"/>
  <c r="V13" i="3"/>
  <c r="W13" i="3" s="1"/>
  <c r="F46" i="2" s="1"/>
  <c r="H46" i="2" s="1"/>
  <c r="V6" i="3"/>
  <c r="W6" i="3" s="1"/>
  <c r="V19" i="3"/>
  <c r="W19" i="3" s="1"/>
  <c r="F31" i="2" s="1"/>
  <c r="H31" i="2" s="1"/>
  <c r="V16" i="3"/>
  <c r="W16" i="3" s="1"/>
  <c r="V7" i="3"/>
  <c r="W7" i="3" s="1"/>
  <c r="V11" i="3"/>
  <c r="W11" i="3" s="1"/>
  <c r="F32" i="2" s="1"/>
  <c r="H32" i="2" s="1"/>
  <c r="V12" i="3"/>
  <c r="W12" i="3" s="1"/>
  <c r="F19" i="2" s="1"/>
  <c r="H19" i="2" s="1"/>
  <c r="V25" i="3"/>
  <c r="W25" i="3" s="1"/>
  <c r="F58" i="2" s="1"/>
  <c r="H58" i="2" s="1"/>
  <c r="V21" i="3"/>
  <c r="W21" i="3" s="1"/>
  <c r="V27" i="3"/>
  <c r="W27" i="3" s="1"/>
  <c r="F37" i="2" s="1"/>
  <c r="H37" i="2" s="1"/>
  <c r="V2" i="3"/>
  <c r="W2" i="3" s="1"/>
  <c r="V9" i="3"/>
  <c r="W9" i="3" s="1"/>
  <c r="V22" i="3"/>
  <c r="W22" i="3" s="1"/>
  <c r="F20" i="2" s="1"/>
  <c r="H20" i="2" s="1"/>
  <c r="V24" i="3"/>
  <c r="W24" i="3" s="1"/>
  <c r="F57" i="2" s="1"/>
  <c r="H57" i="2" s="1"/>
  <c r="V17" i="3"/>
  <c r="W17" i="3" s="1"/>
  <c r="F30" i="2" s="1"/>
  <c r="H30" i="2" s="1"/>
  <c r="V10" i="3"/>
  <c r="W10" i="3" s="1"/>
  <c r="V5" i="3"/>
  <c r="W5" i="3" s="1"/>
  <c r="F94" i="2" s="1"/>
  <c r="H94" i="2" s="1"/>
  <c r="V8" i="3"/>
  <c r="W8" i="3" s="1"/>
  <c r="F10" i="2" s="1"/>
  <c r="H10" i="2" s="1"/>
  <c r="V18" i="3"/>
  <c r="W18" i="3" s="1"/>
  <c r="V26" i="3"/>
  <c r="W26" i="3" s="1"/>
  <c r="F41" i="2" s="1"/>
  <c r="H41" i="2" s="1"/>
  <c r="Y3" i="3" l="1" a="1"/>
  <c r="Y3" i="3" s="1"/>
  <c r="F9" i="2"/>
  <c r="H9" i="2" s="1"/>
  <c r="F50" i="2"/>
  <c r="H50" i="2" s="1"/>
  <c r="F48" i="2"/>
  <c r="H48" i="2" s="1"/>
  <c r="F26" i="2"/>
  <c r="H26" i="2" s="1"/>
  <c r="F17" i="2"/>
  <c r="H17" i="2" s="1"/>
  <c r="F61" i="2"/>
  <c r="H61" i="2" s="1"/>
  <c r="F5" i="2"/>
  <c r="H5" i="2" s="1"/>
  <c r="F13" i="2"/>
  <c r="H13" i="2" s="1"/>
  <c r="F68" i="2"/>
  <c r="H68" i="2" s="1"/>
  <c r="F39" i="2"/>
  <c r="H39" i="2" s="1"/>
  <c r="F11" i="2"/>
  <c r="H11" i="2" s="1"/>
  <c r="F36" i="2"/>
  <c r="H36" i="2" s="1"/>
  <c r="F95" i="2"/>
  <c r="H95" i="2" s="1"/>
  <c r="F82" i="2"/>
  <c r="H82" i="2" s="1"/>
  <c r="F62" i="2"/>
  <c r="H62" i="2" s="1"/>
  <c r="F51" i="2"/>
  <c r="H51" i="2" s="1"/>
  <c r="F78" i="2"/>
  <c r="H78" i="2" s="1"/>
  <c r="F54" i="2"/>
  <c r="H54" i="2" s="1"/>
  <c r="F55" i="2"/>
  <c r="H55" i="2" s="1"/>
  <c r="F100" i="2"/>
  <c r="H100" i="2" s="1"/>
  <c r="F27" i="2"/>
  <c r="H27" i="2" s="1"/>
  <c r="F64" i="2"/>
  <c r="H64" i="2" s="1"/>
  <c r="F52" i="2"/>
  <c r="H52" i="2" s="1"/>
  <c r="F28" i="2"/>
  <c r="H28" i="2" s="1"/>
  <c r="F47" i="2"/>
  <c r="H47" i="2" s="1"/>
  <c r="F85" i="2"/>
  <c r="H85" i="2" s="1"/>
  <c r="F42" i="2"/>
  <c r="H42" i="2" s="1"/>
  <c r="F18" i="2"/>
  <c r="H18" i="2" s="1"/>
  <c r="F35" i="2"/>
  <c r="H35" i="2" s="1"/>
  <c r="F6" i="2"/>
  <c r="H6" i="2" s="1"/>
  <c r="F24" i="2"/>
  <c r="H24" i="2" s="1"/>
  <c r="F93" i="2"/>
  <c r="H93" i="2" s="1"/>
  <c r="F7" i="2"/>
  <c r="H7" i="2" s="1"/>
  <c r="F23" i="2"/>
  <c r="H23" i="2" s="1"/>
  <c r="F34" i="2"/>
  <c r="H34" i="2" s="1"/>
  <c r="F43" i="2"/>
  <c r="H4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<sst xmlns="http://schemas.openxmlformats.org/spreadsheetml/2006/main" count="507" uniqueCount="309">
  <si>
    <t xml:space="preserve">Strongs #   </t>
  </si>
  <si>
    <t xml:space="preserve">Hebrew </t>
  </si>
  <si>
    <t xml:space="preserve">Transliterated </t>
  </si>
  <si>
    <t>English Equivalent</t>
  </si>
  <si>
    <t>URL</t>
  </si>
  <si>
    <t>POS</t>
  </si>
  <si>
    <t>Counts</t>
  </si>
  <si>
    <t>Definition</t>
  </si>
  <si>
    <t>H937</t>
  </si>
  <si>
    <t xml:space="preserve">בּוּז </t>
  </si>
  <si>
    <t xml:space="preserve">bûz </t>
  </si>
  <si>
    <t>contempt, despised, contemptuously, shamed</t>
  </si>
  <si>
    <t>https://www.blueletterbible.org/lexicon/H937/kjv/wlc/0-1/</t>
  </si>
  <si>
    <t>masculine noun</t>
  </si>
  <si>
    <t>contempt (7x), despised (2x), contemptuously (1x), shamed (1x).</t>
  </si>
  <si>
    <t>disrespect:—contempt(-uously), despised, shamed.</t>
  </si>
  <si>
    <t>H954</t>
  </si>
  <si>
    <t xml:space="preserve">בּוּשׁ </t>
  </si>
  <si>
    <t xml:space="preserve">bûš </t>
  </si>
  <si>
    <t>ashamed, confounded, shame, all (inf. for emphasis), confusion, delayed, dry, long, shamed</t>
  </si>
  <si>
    <t>https://www.blueletterbible.org/lexicon/H954/kjv/wlc/0-1/</t>
  </si>
  <si>
    <t>verb</t>
  </si>
  <si>
    <t>ashamed (72x), confounded (21x), shame (9x), all 2 (inf. for emphasis), confusion (1x), delayed (1x), dry (1x), long (1x), shamed (1x).</t>
  </si>
  <si>
    <t>properly, to pale, i.e. by implication to be ashamed; also (by implication) to be disappointed or delayed:—(be, make, bring to, cause, put to, with, a-) shamed(-d), be (put to) confounded(-fusion), become dry, delay, be long.</t>
  </si>
  <si>
    <t>H955</t>
  </si>
  <si>
    <t xml:space="preserve">בּוּשָׁה </t>
  </si>
  <si>
    <t xml:space="preserve">bûšâ </t>
  </si>
  <si>
    <t>shame</t>
  </si>
  <si>
    <t>https://www.blueletterbible.org/lexicon/H955/kjv/wlc/0-1/</t>
  </si>
  <si>
    <t>feminine noun</t>
  </si>
  <si>
    <t xml:space="preserve"> shame (4x).</t>
  </si>
  <si>
    <t>feminine participle passive of H954; shame:—shame.</t>
  </si>
  <si>
    <t>H1317</t>
  </si>
  <si>
    <t xml:space="preserve">בָּשְׁנָה </t>
  </si>
  <si>
    <t xml:space="preserve">bāšnâ </t>
  </si>
  <si>
    <t>https://www.blueletterbible.org/lexicon/H1317/kjv/wlc/0-1/</t>
  </si>
  <si>
    <t>shame (1x)</t>
  </si>
  <si>
    <t>shamefulness:—shame.</t>
  </si>
  <si>
    <t>H1322</t>
  </si>
  <si>
    <t xml:space="preserve">בּשֶׁת </t>
  </si>
  <si>
    <t xml:space="preserve">bšeṯ </t>
  </si>
  <si>
    <t>shame, confusion, ashamed, greatly, shameful thing</t>
  </si>
  <si>
    <t>https://www.blueletterbible.org/lexicon/H1322/kjv/wlc/0-1/</t>
  </si>
  <si>
    <t xml:space="preserve"> shame (20x), confusion (7x), ashamed (1x), greatly (1x), shameful thing (1x).</t>
  </si>
  <si>
    <t>shame (the feeling and the condition, as well as its cause); by implication (specifically) an idol:—ashamed, confusion, greatly, (put to) shame(-ful thing).</t>
  </si>
  <si>
    <t>H2616</t>
  </si>
  <si>
    <t xml:space="preserve">חָסַד </t>
  </si>
  <si>
    <t xml:space="preserve">ḥāsaḏ </t>
  </si>
  <si>
    <t>show thyself merciful, put to shame</t>
  </si>
  <si>
    <t>https://www.blueletterbible.org/lexicon/H2616/kjv/wlc/0-1/</t>
  </si>
  <si>
    <t xml:space="preserve"> show thyself merciful (2x), put to shame (1x).</t>
  </si>
  <si>
    <t>perhaps to bow (the neck only [compare H2603] in courtesy to an equal), i.e. to be kind; also (by euphemistically [compare H1288], but rarely) to reprove:—shew self merciful, put to shame.</t>
  </si>
  <si>
    <t>H2659</t>
  </si>
  <si>
    <t xml:space="preserve">חָפֵר </t>
  </si>
  <si>
    <t xml:space="preserve">ḥāp̄ēr </t>
  </si>
  <si>
    <t>confounded, ashamed, shame, confusion, reproach</t>
  </si>
  <si>
    <t>https://www.blueletterbible.org/lexicon/H2659/kjv/wlc/0-1/</t>
  </si>
  <si>
    <t xml:space="preserve"> confounded (6x), ashamed (4x), shame (4x), confusion (2x), reproach (1x).</t>
  </si>
  <si>
    <t>a primitive root (perhaps rather the same as H2658 through the idea of detection); to blush; figuratively, to be ashamed, disappointed; causatively, to shame, reproach:—be ashamed, be confounded, be brought to confusion (unto shame), come (be put to) shame, bring reproach.</t>
  </si>
  <si>
    <t>H2781</t>
  </si>
  <si>
    <t xml:space="preserve">חֶרְפָּה </t>
  </si>
  <si>
    <t xml:space="preserve">ḥerpâ </t>
  </si>
  <si>
    <t>reproach, shame, rebuke, reproachfully</t>
  </si>
  <si>
    <t>https://www.blueletterbible.org/lexicon/H2781/kjv/wlc/0-1/</t>
  </si>
  <si>
    <t>reproach (67x), shame (3x), rebuke (2x), reproachfully (1x).</t>
  </si>
  <si>
    <t>contumely, disgrace, the pudenda:—rebuke, reproach(-fully), shame.</t>
  </si>
  <si>
    <t>H3001</t>
  </si>
  <si>
    <t xml:space="preserve">יָבֵשׁ </t>
  </si>
  <si>
    <t xml:space="preserve">yāḇēš </t>
  </si>
  <si>
    <t>dry up, withered, confounded, ashamed, dry, wither away, clean, shamed, shamefully, utterly</t>
  </si>
  <si>
    <t>https://www.blueletterbible.org/lexicon/H3001/kjv/wlc/0-1/</t>
  </si>
  <si>
    <t xml:space="preserve"> dry up (27x), withered (22x), confounded (9x), ashamed (7x), dry (7x), wither away (2x), clean (1x), shamed (1x), shamefully (1x), utterly (1x).</t>
  </si>
  <si>
    <t>to be ashamed, confused or disappointed; also (as failing) to dry up (as water) or wither (as herbage):—be ashamed, clean, be confounded, (make) dry (up), (do) shame(-fully), × utterly, wither (away).</t>
  </si>
  <si>
    <t>H3637</t>
  </si>
  <si>
    <t xml:space="preserve">כָּלַם </t>
  </si>
  <si>
    <t xml:space="preserve">kālam </t>
  </si>
  <si>
    <t>ashamed, confounded, shame, blush, hurt, reproach, confusion</t>
  </si>
  <si>
    <t>https://www.blueletterbible.org/lexicon/H3637/kjv/wlc/0-1/</t>
  </si>
  <si>
    <t>ashamed (12x), confounded (11x), shame (7x), blush (3x), hurt (2x), reproach (2x), confusion (1x).</t>
  </si>
  <si>
    <t>properly, to wound; but only figuratively, to taunt or insult:—be (make) ashamed, blush, be confounded, be put to confusion, hurt, reproach, (do, put to) shame.</t>
  </si>
  <si>
    <t>H3639</t>
  </si>
  <si>
    <t xml:space="preserve">כְּלִמָּה </t>
  </si>
  <si>
    <t xml:space="preserve">kᵊlimmâ </t>
  </si>
  <si>
    <t>shame, confusion, dishonour, reproach</t>
  </si>
  <si>
    <t>https://www.blueletterbible.org/lexicon/H3639/kjv/wlc/0-1/</t>
  </si>
  <si>
    <t>shame (20x), confusion (6x), dishonour (3x), reproach (1x).</t>
  </si>
  <si>
    <t>disgrace:—confusion, dishonour, reproach, shame.</t>
  </si>
  <si>
    <t>H3640</t>
  </si>
  <si>
    <t xml:space="preserve">כְּלִמּוּת </t>
  </si>
  <si>
    <t xml:space="preserve">kᵊlimmûṯ </t>
  </si>
  <si>
    <t>https://www.blueletterbible.org/lexicon/H3640/kjv/wlc/0-1/</t>
  </si>
  <si>
    <t>shame (1x).</t>
  </si>
  <si>
    <t>disgrace:—shame.</t>
  </si>
  <si>
    <t>H6172</t>
  </si>
  <si>
    <t xml:space="preserve">עֶרְוָה </t>
  </si>
  <si>
    <t xml:space="preserve">ʿervâ </t>
  </si>
  <si>
    <t>nakedness, nakedness, shame, unclean, uncleanness</t>
  </si>
  <si>
    <t>https://www.blueletterbible.org/lexicon/H6172/kjv/wlc/0-1/</t>
  </si>
  <si>
    <t xml:space="preserve"> nakedness (50x), nakedness (with H1320) (1x), shame (1x), unclean (1x), uncleanness (1x).</t>
  </si>
  <si>
    <t>nudity, literally (especially the pudenda) or figuratively (disgrace, blemish):—nakedness, shame, unclean(-ness).</t>
  </si>
  <si>
    <t>H7022</t>
  </si>
  <si>
    <t xml:space="preserve">קִיקָלוֹן </t>
  </si>
  <si>
    <t xml:space="preserve">qîqālôn </t>
  </si>
  <si>
    <t>shameful spewing</t>
  </si>
  <si>
    <t>https://www.blueletterbible.org/lexicon/H7022/kjv/wlc/0-1/</t>
  </si>
  <si>
    <t>shameful spewing (1x).</t>
  </si>
  <si>
    <t>intense disgrace:—shameful spewing.</t>
  </si>
  <si>
    <t>H7036</t>
  </si>
  <si>
    <t xml:space="preserve">קָלוֹן </t>
  </si>
  <si>
    <t xml:space="preserve">qālôn </t>
  </si>
  <si>
    <t>shame, confusion, dishonour, ignominy, reproach</t>
  </si>
  <si>
    <t>https://www.blueletterbible.org/lexicon/H7036/kjv/wlc/0-1/</t>
  </si>
  <si>
    <t>shame (13x), confusion (1x), dishonour (1x), ignominy (1x), reproach (1x).</t>
  </si>
  <si>
    <t>disgrace; (by implication) the pudenda:—confusion, dishonour, ignominy, reproach, shame.</t>
  </si>
  <si>
    <t>H8103</t>
  </si>
  <si>
    <t xml:space="preserve">שִׁמְצָה </t>
  </si>
  <si>
    <t xml:space="preserve">šimṣâ </t>
  </si>
  <si>
    <t>https://www.blueletterbible.org/lexicon/H8103/kjv/wlc/0-1/</t>
  </si>
  <si>
    <t>scornful whispering (of hostile spectators):—shame.</t>
  </si>
  <si>
    <t>H8106</t>
  </si>
  <si>
    <t xml:space="preserve">שֶׁמֶר </t>
  </si>
  <si>
    <t xml:space="preserve">šemer </t>
  </si>
  <si>
    <t>Shemer, Shamer, Shamed</t>
  </si>
  <si>
    <t>https://www.blueletterbible.org/lexicon/H8106/kjv/wlc/0-1/</t>
  </si>
  <si>
    <t>proper masculine noun</t>
  </si>
  <si>
    <t xml:space="preserve"> Shemer (2x), Shamer (2x), Shamed (1x).</t>
  </si>
  <si>
    <t>Shemer, the name of three Israelites:—Shamer, Shemer.</t>
  </si>
  <si>
    <t>G127</t>
  </si>
  <si>
    <t xml:space="preserve">αἰδώς </t>
  </si>
  <si>
    <t xml:space="preserve">aidōs </t>
  </si>
  <si>
    <t>shamefacedness, reverence</t>
  </si>
  <si>
    <t>https://www.blueletterbible.org/lexicon/G127/kjv/wlc/0-1/</t>
  </si>
  <si>
    <t>shamefacedness (1x), reverence (1x).</t>
  </si>
  <si>
    <t>perhaps from G1 (as a negative particle) and G1492 (through the idea of downcast eyes); bashfulness, i.e. (towards men), modesty or (towards God) awe:—reverence, shamefacedness.</t>
  </si>
  <si>
    <t>G149</t>
  </si>
  <si>
    <t xml:space="preserve">αἴσχρον </t>
  </si>
  <si>
    <t xml:space="preserve">aischron </t>
  </si>
  <si>
    <t>https://www.blueletterbible.org/lexicon/G149/kjv/wlc/0-1/</t>
  </si>
  <si>
    <t>neuter noun</t>
  </si>
  <si>
    <t>shame (3x).</t>
  </si>
  <si>
    <t>a shameful thing, i.e. indecorum:—shame.</t>
  </si>
  <si>
    <t>G152</t>
  </si>
  <si>
    <t xml:space="preserve">αἰσχύνη </t>
  </si>
  <si>
    <t xml:space="preserve">aischynē </t>
  </si>
  <si>
    <t>shame, dishonesty</t>
  </si>
  <si>
    <t>https://www.blueletterbible.org/lexicon/G152/kjv/wlc/0-1/</t>
  </si>
  <si>
    <t>shame (5x), dishonesty (1x).</t>
  </si>
  <si>
    <t>shame or disgrace (abstractly or concretely):—dishonesty, shame.</t>
  </si>
  <si>
    <t>G153</t>
  </si>
  <si>
    <t xml:space="preserve">αἰσχύνω </t>
  </si>
  <si>
    <t xml:space="preserve">aischynō </t>
  </si>
  <si>
    <t>be ashamed</t>
  </si>
  <si>
    <t>https://www.blueletterbible.org/lexicon/G153/kjv/wlc/0-1/</t>
  </si>
  <si>
    <t>be ashamed (5x).</t>
  </si>
  <si>
    <t>(disfigurement, i.e. disgrace); to feel shame (for oneself):—be ashamed.</t>
  </si>
  <si>
    <t>G422</t>
  </si>
  <si>
    <t xml:space="preserve">ἀνεπαίσχυντος </t>
  </si>
  <si>
    <t xml:space="preserve">anepaischyntos </t>
  </si>
  <si>
    <t>that needeth not to be ashamed</t>
  </si>
  <si>
    <t>https://www.blueletterbible.org/lexicon/G422/kjv/wlc/0-1/</t>
  </si>
  <si>
    <t>adjective</t>
  </si>
  <si>
    <t>that needeth not to be ashamed (1x).</t>
  </si>
  <si>
    <t>an-ep-ah'-ee-skhoon-tos; from G1 (as a negative particle) and a presumed derivative of a compound of G1909 and G153; not ashamed, i.e. irreprehensible: --that needeth not to be ashamed.</t>
  </si>
  <si>
    <t>G808</t>
  </si>
  <si>
    <t xml:space="preserve">ἀσχημοσύνη </t>
  </si>
  <si>
    <t xml:space="preserve">aschēmosynē </t>
  </si>
  <si>
    <t>that which is unseemly, shame</t>
  </si>
  <si>
    <t>https://www.blueletterbible.org/lexicon/G808/kjv/wlc/0-1/</t>
  </si>
  <si>
    <t>that which is unseemly (1x), shame (1x).</t>
  </si>
  <si>
    <t>an indecency; by implication, the pudenda:—shame, that which is unseemly.</t>
  </si>
  <si>
    <t>G818</t>
  </si>
  <si>
    <t xml:space="preserve">ἀτιμάζω </t>
  </si>
  <si>
    <t xml:space="preserve">atimazō </t>
  </si>
  <si>
    <t>dishonour, entreat shamefully, suffer shame, despise</t>
  </si>
  <si>
    <t>https://www.blueletterbible.org/lexicon/G818/kjv/wlc/0-1/</t>
  </si>
  <si>
    <t>dishonour (3x), entreat shamefully (1x), suffer shame (1x), despise (1x).</t>
  </si>
  <si>
    <t>to render infamous, i.e. (by implication) contemn or maltreat:—despise, dishonour, suffer shame, entreat shamefully.</t>
  </si>
  <si>
    <t>G819</t>
  </si>
  <si>
    <t xml:space="preserve">ἀτιμία </t>
  </si>
  <si>
    <t xml:space="preserve">atimia </t>
  </si>
  <si>
    <t>dishonour, vile, shame, reproach</t>
  </si>
  <si>
    <t>https://www.blueletterbible.org/lexicon/G819/kjv/wlc/0-1/</t>
  </si>
  <si>
    <t>dishonour (4x), vile (1x), shame (1x), reproach (1x).</t>
  </si>
  <si>
    <t>infamy, i.e. (subjectively) comparative indignity, (objectively) disgrace:—dishonour, reproach, shame, vile.</t>
  </si>
  <si>
    <t>G821</t>
  </si>
  <si>
    <t xml:space="preserve">ἀτιμόω </t>
  </si>
  <si>
    <t xml:space="preserve">atimoō </t>
  </si>
  <si>
    <t>handle shamefully</t>
  </si>
  <si>
    <t>https://www.blueletterbible.org/lexicon/G821/kjv/wlc/0-1/</t>
  </si>
  <si>
    <t>handle shamefully (1x).</t>
  </si>
  <si>
    <t>used like G818, to maltreat:—handle shamefully.</t>
  </si>
  <si>
    <t>G1788</t>
  </si>
  <si>
    <t xml:space="preserve">ἐντρέπω </t>
  </si>
  <si>
    <t xml:space="preserve">entrepō </t>
  </si>
  <si>
    <t>reverence, regard, be ashamed, shame</t>
  </si>
  <si>
    <t>https://www.blueletterbible.org/lexicon/G1788/kjv/wlc/0-1/</t>
  </si>
  <si>
    <t>reverence (4x), regard (2x), be ashamed (2x), shame (1x).</t>
  </si>
  <si>
    <t>to invert, i.e. (figuratively and reflexively) in a good sense, to respect; or in a bad one, to confound:—regard, (give) reference, shame.</t>
  </si>
  <si>
    <t>G1791</t>
  </si>
  <si>
    <t xml:space="preserve">ἐντροπή </t>
  </si>
  <si>
    <t xml:space="preserve">entropē </t>
  </si>
  <si>
    <t>https://www.blueletterbible.org/lexicon/G1791/kjv/wlc/0-1/</t>
  </si>
  <si>
    <t>shame (2x).</t>
  </si>
  <si>
    <t>confusion:—shame.</t>
  </si>
  <si>
    <t>G1870</t>
  </si>
  <si>
    <t xml:space="preserve">ἐπαισχύνομαι </t>
  </si>
  <si>
    <t xml:space="preserve">epaischynomai </t>
  </si>
  <si>
    <t>https://www.blueletterbible.org/lexicon/G1870/kjv/wlc/0-1/</t>
  </si>
  <si>
    <t>be ashamed (11x).</t>
  </si>
  <si>
    <t>from G1909 and G153; to feel shame for something:—be ashamed.</t>
  </si>
  <si>
    <t>G2617</t>
  </si>
  <si>
    <t xml:space="preserve">καταισχύνω </t>
  </si>
  <si>
    <t xml:space="preserve">kataischynō </t>
  </si>
  <si>
    <t>ashamed, confound, dishonour, shame</t>
  </si>
  <si>
    <t>https://www.blueletterbible.org/lexicon/G2617/kjv/wlc/0-1/</t>
  </si>
  <si>
    <t>ashamed (7x), confound (3x), dishonour (2x), shame (1x).</t>
  </si>
  <si>
    <t>to shame down, i.e. disgrace or (by implication) put to the blush:—confound, dishonour, (be a-, make a-)shame(-d).</t>
  </si>
  <si>
    <t>G3856</t>
  </si>
  <si>
    <t xml:space="preserve">παραδειγματίζω </t>
  </si>
  <si>
    <t xml:space="preserve">paradeigmatizō </t>
  </si>
  <si>
    <t>make a public example, put to open shame</t>
  </si>
  <si>
    <t>https://www.blueletterbible.org/lexicon/G3856/kjv/wlc/0-1/</t>
  </si>
  <si>
    <t>make a public example (1x), put to open shame (1x).</t>
  </si>
  <si>
    <t>from G3844 and G1165; to show alongside (the public), i.e. expose to infamy:—make a public example, put to an open shame.</t>
  </si>
  <si>
    <t>G5195</t>
  </si>
  <si>
    <t xml:space="preserve">ὑβρίζω </t>
  </si>
  <si>
    <t xml:space="preserve">hybrizō </t>
  </si>
  <si>
    <t>entreat spitefully, reproach, use despitefully, shamefully entreat</t>
  </si>
  <si>
    <t>https://www.blueletterbible.org/lexicon/G5195/kjv/wlc/0-1/</t>
  </si>
  <si>
    <t>entreat spitefully (2x), reproach (1x), use despitefully (1x), shamefully entreat (1x).</t>
  </si>
  <si>
    <t>to exercise violence, i.e. abuse:—use despitefully, reproach, entreat shamefully (spitefully).</t>
  </si>
  <si>
    <t>Strongs</t>
  </si>
  <si>
    <t>Translations</t>
  </si>
  <si>
    <t>contempt</t>
  </si>
  <si>
    <t>despised</t>
  </si>
  <si>
    <t>contemptuously</t>
  </si>
  <si>
    <t>shamed</t>
  </si>
  <si>
    <t>ashamed</t>
  </si>
  <si>
    <t>confounded</t>
  </si>
  <si>
    <t>confusion</t>
  </si>
  <si>
    <t>delayed</t>
  </si>
  <si>
    <t>dry</t>
  </si>
  <si>
    <t>long</t>
  </si>
  <si>
    <t>greatly</t>
  </si>
  <si>
    <t>shameful thing</t>
  </si>
  <si>
    <t>show thyself merciful</t>
  </si>
  <si>
    <t>put to shame</t>
  </si>
  <si>
    <t>reproach</t>
  </si>
  <si>
    <t>rebuke</t>
  </si>
  <si>
    <t>reproachfully</t>
  </si>
  <si>
    <t>dry up</t>
  </si>
  <si>
    <t>withered</t>
  </si>
  <si>
    <t>wither away</t>
  </si>
  <si>
    <t>clean</t>
  </si>
  <si>
    <t>shamefully</t>
  </si>
  <si>
    <t>utterly</t>
  </si>
  <si>
    <t>blush</t>
  </si>
  <si>
    <t>hurt</t>
  </si>
  <si>
    <t>dishonour</t>
  </si>
  <si>
    <t>nakedness</t>
  </si>
  <si>
    <t>unclean</t>
  </si>
  <si>
    <t>uncleanness</t>
  </si>
  <si>
    <t>ignominy</t>
  </si>
  <si>
    <t>Shemer</t>
  </si>
  <si>
    <t>Shamer</t>
  </si>
  <si>
    <t>Shamed</t>
  </si>
  <si>
    <t>shamefacedness</t>
  </si>
  <si>
    <t>reverence</t>
  </si>
  <si>
    <t>dishonesty</t>
  </si>
  <si>
    <t>that which is unseemly</t>
  </si>
  <si>
    <t>entreat shamefully</t>
  </si>
  <si>
    <t>suffer shame</t>
  </si>
  <si>
    <t>despise</t>
  </si>
  <si>
    <t>vile</t>
  </si>
  <si>
    <t>regard</t>
  </si>
  <si>
    <t>confound</t>
  </si>
  <si>
    <t>make a public example</t>
  </si>
  <si>
    <t>put to open shame</t>
  </si>
  <si>
    <t>entreat spitefully</t>
  </si>
  <si>
    <t>use despitefully</t>
  </si>
  <si>
    <t>shamefully entreat</t>
  </si>
  <si>
    <t>Weighted Mean</t>
  </si>
  <si>
    <t>Mean</t>
  </si>
  <si>
    <t>Std. Dev</t>
  </si>
  <si>
    <t>(Weighted)</t>
  </si>
  <si>
    <t>Terms</t>
  </si>
  <si>
    <t>Weighted Std. Dev.</t>
  </si>
  <si>
    <r>
      <t>=SUMPRODUCT(</t>
    </r>
    <r>
      <rPr>
        <sz val="10"/>
        <color rgb="FFFF0000"/>
        <rFont val="Calibri"/>
        <family val="2"/>
        <scheme val="minor"/>
      </rPr>
      <t>n</t>
    </r>
    <r>
      <rPr>
        <sz val="10"/>
        <color rgb="FF00B050"/>
        <rFont val="Calibri"/>
        <family val="2"/>
        <scheme val="minor"/>
      </rPr>
      <t xml:space="preserve">, </t>
    </r>
    <r>
      <rPr>
        <sz val="10"/>
        <color rgb="FF7030A0"/>
        <rFont val="Calibri"/>
        <family val="2"/>
        <scheme val="minor"/>
      </rPr>
      <t>weight</t>
    </r>
    <r>
      <rPr>
        <sz val="10"/>
        <color rgb="FF00B050"/>
        <rFont val="Calibri"/>
        <family val="2"/>
        <scheme val="minor"/>
      </rPr>
      <t>) / SUM(</t>
    </r>
    <r>
      <rPr>
        <sz val="10"/>
        <color rgb="FF7030A0"/>
        <rFont val="Calibri"/>
        <family val="2"/>
        <scheme val="minor"/>
      </rPr>
      <t>weight</t>
    </r>
    <r>
      <rPr>
        <sz val="10"/>
        <color rgb="FF00B050"/>
        <rFont val="Calibri"/>
        <family val="2"/>
        <scheme val="minor"/>
      </rPr>
      <t>)</t>
    </r>
  </si>
  <si>
    <r>
      <t>=SQRT(SUMPRODUCT((</t>
    </r>
    <r>
      <rPr>
        <sz val="10"/>
        <color rgb="FFFF0000"/>
        <rFont val="Calibri"/>
        <family val="2"/>
        <scheme val="minor"/>
      </rPr>
      <t>n</t>
    </r>
    <r>
      <rPr>
        <sz val="10"/>
        <color rgb="FF0070C0"/>
        <rFont val="Calibri"/>
        <family val="2"/>
        <scheme val="minor"/>
      </rPr>
      <t xml:space="preserve"> - </t>
    </r>
    <r>
      <rPr>
        <sz val="10"/>
        <color rgb="FF00B050"/>
        <rFont val="Calibri"/>
        <family val="2"/>
        <scheme val="minor"/>
      </rPr>
      <t>weighted mean</t>
    </r>
    <r>
      <rPr>
        <sz val="10"/>
        <color rgb="FF0070C0"/>
        <rFont val="Calibri"/>
        <family val="2"/>
        <scheme val="minor"/>
      </rPr>
      <t xml:space="preserve">) ^2, </t>
    </r>
    <r>
      <rPr>
        <sz val="10"/>
        <color rgb="FF7030A0"/>
        <rFont val="Calibri"/>
        <family val="2"/>
        <scheme val="minor"/>
      </rPr>
      <t>weight</t>
    </r>
    <r>
      <rPr>
        <sz val="10"/>
        <color rgb="FF0070C0"/>
        <rFont val="Calibri"/>
        <family val="2"/>
        <scheme val="minor"/>
      </rPr>
      <t>) / SUM(</t>
    </r>
    <r>
      <rPr>
        <sz val="10"/>
        <color rgb="FF7030A0"/>
        <rFont val="Calibri"/>
        <family val="2"/>
        <scheme val="minor"/>
      </rPr>
      <t>weight</t>
    </r>
    <r>
      <rPr>
        <sz val="10"/>
        <color rgb="FF0070C0"/>
        <rFont val="Calibri"/>
        <family val="2"/>
        <scheme val="minor"/>
      </rPr>
      <t>, -1))</t>
    </r>
  </si>
  <si>
    <r>
      <t>=STANDARDIZE(</t>
    </r>
    <r>
      <rPr>
        <sz val="11"/>
        <color rgb="FFFF0000"/>
        <rFont val="Calibri"/>
        <family val="2"/>
        <scheme val="minor"/>
      </rPr>
      <t>n</t>
    </r>
    <r>
      <rPr>
        <sz val="11"/>
        <color theme="6" tint="-0.249977111117893"/>
        <rFont val="Calibri"/>
        <family val="2"/>
        <scheme val="minor"/>
      </rPr>
      <t xml:space="preserve">, </t>
    </r>
    <r>
      <rPr>
        <sz val="11"/>
        <color rgb="FF00B050"/>
        <rFont val="Calibri"/>
        <family val="2"/>
        <scheme val="minor"/>
      </rPr>
      <t>weighted mean</t>
    </r>
    <r>
      <rPr>
        <sz val="11"/>
        <color theme="6" tint="-0.249977111117893"/>
        <rFont val="Calibri"/>
        <family val="2"/>
        <scheme val="minor"/>
      </rPr>
      <t xml:space="preserve">, </t>
    </r>
    <r>
      <rPr>
        <sz val="11"/>
        <color rgb="FF0070C0"/>
        <rFont val="Calibri"/>
        <family val="2"/>
        <scheme val="minor"/>
      </rPr>
      <t>weighted std. dev.</t>
    </r>
    <r>
      <rPr>
        <sz val="11"/>
        <color theme="6" tint="-0.249977111117893"/>
        <rFont val="Calibri"/>
        <family val="2"/>
        <scheme val="minor"/>
      </rPr>
      <t>)</t>
    </r>
  </si>
  <si>
    <t>Z Score</t>
  </si>
  <si>
    <t>Z Rounded</t>
  </si>
  <si>
    <t>Weight</t>
  </si>
  <si>
    <t>n</t>
  </si>
  <si>
    <t>=COUNTIF(Strongs Array, Strongs)</t>
  </si>
  <si>
    <t>=SUMIF(Strongs Array, Strongs, Term Counts)</t>
  </si>
  <si>
    <t>Strongs &gt;= 0</t>
  </si>
  <si>
    <t>of Z Rounded</t>
  </si>
  <si>
    <t>&lt;&gt; Strongs</t>
  </si>
  <si>
    <t>(Strongs) Weight</t>
  </si>
  <si>
    <t>(Strongs) n</t>
  </si>
  <si>
    <t>(Terms) Weight</t>
  </si>
  <si>
    <t>(Terms) n</t>
  </si>
  <si>
    <t>=COUNTIF(Terms Array, Terms, Strongs Filter, TRUE)</t>
  </si>
  <si>
    <t>=SUMIFS(Term Counts, Terms Array, Terms, Strongs Filter, TRUE)</t>
  </si>
  <si>
    <r>
      <t>=ROUND(ABS(</t>
    </r>
    <r>
      <rPr>
        <b/>
        <sz val="11"/>
        <color theme="1" tint="0.499984740745262"/>
        <rFont val="Calibri"/>
        <family val="2"/>
        <scheme val="minor"/>
      </rPr>
      <t>z score</t>
    </r>
    <r>
      <rPr>
        <sz val="11"/>
        <color theme="1"/>
        <rFont val="Calibri"/>
        <family val="2"/>
        <scheme val="minor"/>
      </rPr>
      <t>), 0) * IF(</t>
    </r>
    <r>
      <rPr>
        <b/>
        <sz val="11"/>
        <color theme="1" tint="0.499984740745262"/>
        <rFont val="Calibri"/>
        <family val="2"/>
        <scheme val="minor"/>
      </rPr>
      <t>z score</t>
    </r>
    <r>
      <rPr>
        <sz val="11"/>
        <color theme="1"/>
        <rFont val="Calibri"/>
        <family val="2"/>
        <scheme val="minor"/>
      </rPr>
      <t xml:space="preserve"> &gt; 0, 1, IF(</t>
    </r>
    <r>
      <rPr>
        <b/>
        <sz val="11"/>
        <color theme="1" tint="0.499984740745262"/>
        <rFont val="Calibri"/>
        <family val="2"/>
        <scheme val="minor"/>
      </rPr>
      <t>z score</t>
    </r>
    <r>
      <rPr>
        <sz val="11"/>
        <color theme="1"/>
        <rFont val="Calibri"/>
        <family val="2"/>
        <scheme val="minor"/>
      </rPr>
      <t xml:space="preserve"> &lt; 0, -1, 0))</t>
    </r>
  </si>
  <si>
    <t>&lt;&gt; Terms</t>
  </si>
  <si>
    <t>Terms &gt;= 0</t>
  </si>
  <si>
    <t>StrongsTerms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</si>
</sst>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6600FF"/>
      <name val="Calibri"/>
      <family val="2"/>
      <scheme val="minor"/>
    </font>
    <font>
      <sz val="11"/>
      <color rgb="FF6600FF"/>
      <name val="Calibri"/>
      <family val="2"/>
      <scheme val="minor"/>
    </font>
    <font>
      <b/>
      <sz val="11"/>
      <color rgb="FFCC0000"/>
      <name val="Calibri"/>
      <family val="2"/>
      <scheme val="minor"/>
    </font>
    <font>
      <sz val="11"/>
      <color rgb="FFCC000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rgb="FFCC00CC"/>
      <name val="Calibri"/>
      <family val="2"/>
      <scheme val="minor"/>
    </font>
    <font>
      <b/>
      <sz val="11"/>
      <color rgb="FFFF7C80"/>
      <name val="Calibri"/>
      <family val="2"/>
      <scheme val="minor"/>
    </font>
    <font>
      <sz val="11"/>
      <color rgb="FFFF7C8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5"/>
      </right>
      <top style="thin">
        <color theme="7"/>
      </top>
      <bottom/>
      <diagonal/>
    </border>
    <border>
      <left/>
      <right style="thin">
        <color theme="5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1" fillId="0" borderId="0" xfId="0" applyFont="1"/>
    <xf numFmtId="0" fontId="1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/>
    <xf numFmtId="0" fontId="2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left" indent="1"/>
    </xf>
    <xf numFmtId="0" fontId="10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9" fillId="0" borderId="0" xfId="0" quotePrefix="1" applyFont="1" applyAlignment="1">
      <alignment horizontal="left"/>
    </xf>
    <xf numFmtId="0" fontId="11" fillId="0" borderId="0" xfId="0" quotePrefix="1" applyFont="1" applyAlignment="1">
      <alignment horizontal="left"/>
    </xf>
    <xf numFmtId="0" fontId="16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7" fillId="0" borderId="5" xfId="0" applyFont="1" applyBorder="1"/>
    <xf numFmtId="0" fontId="0" fillId="0" borderId="6" xfId="0" applyBorder="1"/>
    <xf numFmtId="0" fontId="7" fillId="0" borderId="8" xfId="0" applyFont="1" applyBorder="1"/>
    <xf numFmtId="0" fontId="0" fillId="0" borderId="9" xfId="0" applyBorder="1"/>
    <xf numFmtId="0" fontId="7" fillId="0" borderId="0" xfId="0" applyFon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24" fillId="0" borderId="0" xfId="0" quotePrefix="1" applyFont="1" applyBorder="1" applyAlignment="1">
      <alignment horizontal="left"/>
    </xf>
    <xf numFmtId="0" fontId="0" fillId="3" borderId="0" xfId="0" applyFill="1" applyBorder="1"/>
    <xf numFmtId="0" fontId="25" fillId="0" borderId="0" xfId="0" applyFont="1" applyBorder="1" applyAlignment="1">
      <alignment horizontal="left" indent="1"/>
    </xf>
    <xf numFmtId="0" fontId="0" fillId="2" borderId="4" xfId="0" applyFill="1" applyBorder="1"/>
    <xf numFmtId="0" fontId="23" fillId="0" borderId="5" xfId="0" applyFont="1" applyBorder="1" applyAlignment="1">
      <alignment horizontal="left" indent="1"/>
    </xf>
    <xf numFmtId="0" fontId="0" fillId="2" borderId="10" xfId="0" applyFill="1" applyBorder="1"/>
    <xf numFmtId="0" fontId="26" fillId="0" borderId="8" xfId="0" quotePrefix="1" applyFont="1" applyBorder="1" applyAlignment="1">
      <alignment horizontal="left"/>
    </xf>
    <xf numFmtId="0" fontId="0" fillId="2" borderId="7" xfId="0" applyFill="1" applyBorder="1"/>
    <xf numFmtId="0" fontId="0" fillId="3" borderId="5" xfId="0" applyFill="1" applyBorder="1"/>
    <xf numFmtId="0" fontId="19" fillId="0" borderId="5" xfId="0" applyFont="1" applyBorder="1" applyAlignment="1">
      <alignment horizontal="left" indent="1"/>
    </xf>
    <xf numFmtId="0" fontId="0" fillId="0" borderId="5" xfId="0" applyBorder="1"/>
    <xf numFmtId="0" fontId="0" fillId="0" borderId="15" xfId="0" applyBorder="1"/>
    <xf numFmtId="0" fontId="20" fillId="0" borderId="0" xfId="0" quotePrefix="1" applyFont="1" applyBorder="1" applyAlignment="1">
      <alignment horizontal="left"/>
    </xf>
    <xf numFmtId="0" fontId="0" fillId="0" borderId="16" xfId="0" applyBorder="1"/>
    <xf numFmtId="0" fontId="21" fillId="0" borderId="0" xfId="0" applyFont="1" applyBorder="1" applyAlignment="1">
      <alignment horizontal="left" indent="1"/>
    </xf>
    <xf numFmtId="0" fontId="0" fillId="3" borderId="12" xfId="0" applyFill="1" applyBorder="1"/>
    <xf numFmtId="0" fontId="22" fillId="0" borderId="12" xfId="0" quotePrefix="1" applyFont="1" applyBorder="1" applyAlignment="1">
      <alignment horizontal="left"/>
    </xf>
    <xf numFmtId="0" fontId="0" fillId="0" borderId="12" xfId="0" applyBorder="1"/>
    <xf numFmtId="0" fontId="2" fillId="0" borderId="2" xfId="0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18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7C80"/>
      <color rgb="FFCC00CC"/>
      <color rgb="FF6600FF"/>
      <color rgb="FFCC0000"/>
      <color rgb="FFA50021"/>
      <color rgb="FFFF5050"/>
      <color rgb="FF9933FF"/>
      <color rgb="FF99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8C152-1DA6-402A-AADB-0599D95F5DCD}">
  <dimension ref="A1:H33"/>
  <sheetViews>
    <sheetView workbookViewId="0">
      <selection activeCell="G1" sqref="G1"/>
    </sheetView>
  </sheetViews>
  <sheetFormatPr defaultRowHeight="15" x14ac:dyDescent="0.25"/>
  <cols>
    <col min="2" max="2" width="16.140625" bestFit="1" customWidth="1"/>
    <col min="3" max="3" width="15.28515625" bestFit="1" customWidth="1"/>
    <col min="4" max="4" width="10.28515625" style="4" customWidth="1"/>
    <col min="6" max="6" width="9.140625" style="9"/>
    <col min="7" max="7" width="10.28515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2" t="s">
        <v>4</v>
      </c>
      <c r="E1" s="1" t="s">
        <v>3</v>
      </c>
      <c r="F1" s="8" t="s">
        <v>6</v>
      </c>
      <c r="G1" s="1" t="s">
        <v>5</v>
      </c>
      <c r="H1" s="1" t="s">
        <v>7</v>
      </c>
    </row>
    <row r="2" spans="1:8" x14ac:dyDescent="0.25">
      <c r="A2" t="s">
        <v>8</v>
      </c>
      <c r="B2" t="s">
        <v>9</v>
      </c>
      <c r="C2" t="s">
        <v>10</v>
      </c>
      <c r="D2" s="3" t="s">
        <v>12</v>
      </c>
      <c r="E2" t="s">
        <v>11</v>
      </c>
      <c r="F2" s="9" t="s">
        <v>14</v>
      </c>
      <c r="G2" t="s">
        <v>13</v>
      </c>
      <c r="H2" t="s">
        <v>15</v>
      </c>
    </row>
    <row r="3" spans="1:8" x14ac:dyDescent="0.25">
      <c r="A3" t="s">
        <v>16</v>
      </c>
      <c r="B3" t="s">
        <v>17</v>
      </c>
      <c r="C3" t="s">
        <v>18</v>
      </c>
      <c r="D3" s="3" t="s">
        <v>20</v>
      </c>
      <c r="E3" t="s">
        <v>19</v>
      </c>
      <c r="F3" s="9" t="s">
        <v>22</v>
      </c>
      <c r="G3" t="s">
        <v>21</v>
      </c>
      <c r="H3" t="s">
        <v>23</v>
      </c>
    </row>
    <row r="4" spans="1:8" x14ac:dyDescent="0.25">
      <c r="A4" t="s">
        <v>24</v>
      </c>
      <c r="B4" t="s">
        <v>25</v>
      </c>
      <c r="C4" t="s">
        <v>26</v>
      </c>
      <c r="D4" s="3" t="s">
        <v>28</v>
      </c>
      <c r="E4" t="s">
        <v>27</v>
      </c>
      <c r="F4" s="9" t="s">
        <v>30</v>
      </c>
      <c r="G4" t="s">
        <v>29</v>
      </c>
      <c r="H4" t="s">
        <v>31</v>
      </c>
    </row>
    <row r="5" spans="1:8" x14ac:dyDescent="0.25">
      <c r="A5" t="s">
        <v>32</v>
      </c>
      <c r="B5" t="s">
        <v>33</v>
      </c>
      <c r="C5" t="s">
        <v>34</v>
      </c>
      <c r="D5" s="3" t="s">
        <v>35</v>
      </c>
      <c r="E5" t="s">
        <v>27</v>
      </c>
      <c r="F5" s="9" t="s">
        <v>36</v>
      </c>
      <c r="G5" t="s">
        <v>13</v>
      </c>
      <c r="H5" t="s">
        <v>37</v>
      </c>
    </row>
    <row r="6" spans="1:8" x14ac:dyDescent="0.25">
      <c r="A6" t="s">
        <v>38</v>
      </c>
      <c r="B6" t="s">
        <v>39</v>
      </c>
      <c r="C6" t="s">
        <v>40</v>
      </c>
      <c r="D6" s="3" t="s">
        <v>42</v>
      </c>
      <c r="E6" t="s">
        <v>41</v>
      </c>
      <c r="F6" s="9" t="s">
        <v>43</v>
      </c>
      <c r="G6" t="s">
        <v>29</v>
      </c>
      <c r="H6" t="s">
        <v>44</v>
      </c>
    </row>
    <row r="7" spans="1:8" x14ac:dyDescent="0.25">
      <c r="A7" t="s">
        <v>45</v>
      </c>
      <c r="B7" t="s">
        <v>46</v>
      </c>
      <c r="C7" t="s">
        <v>47</v>
      </c>
      <c r="D7" s="3" t="s">
        <v>49</v>
      </c>
      <c r="E7" t="s">
        <v>48</v>
      </c>
      <c r="F7" s="9" t="s">
        <v>50</v>
      </c>
      <c r="G7" t="s">
        <v>21</v>
      </c>
      <c r="H7" t="s">
        <v>51</v>
      </c>
    </row>
    <row r="8" spans="1:8" x14ac:dyDescent="0.25">
      <c r="A8" t="s">
        <v>52</v>
      </c>
      <c r="B8" t="s">
        <v>53</v>
      </c>
      <c r="C8" t="s">
        <v>54</v>
      </c>
      <c r="D8" s="3" t="s">
        <v>56</v>
      </c>
      <c r="E8" t="s">
        <v>55</v>
      </c>
      <c r="F8" s="9" t="s">
        <v>57</v>
      </c>
      <c r="G8" t="s">
        <v>21</v>
      </c>
      <c r="H8" t="s">
        <v>58</v>
      </c>
    </row>
    <row r="9" spans="1:8" x14ac:dyDescent="0.25">
      <c r="A9" t="s">
        <v>59</v>
      </c>
      <c r="B9" t="s">
        <v>60</v>
      </c>
      <c r="C9" t="s">
        <v>61</v>
      </c>
      <c r="D9" s="3" t="s">
        <v>63</v>
      </c>
      <c r="E9" t="s">
        <v>62</v>
      </c>
      <c r="F9" s="9" t="s">
        <v>64</v>
      </c>
      <c r="G9" t="s">
        <v>29</v>
      </c>
      <c r="H9" t="s">
        <v>65</v>
      </c>
    </row>
    <row r="10" spans="1:8" x14ac:dyDescent="0.25">
      <c r="A10" t="s">
        <v>66</v>
      </c>
      <c r="B10" t="s">
        <v>67</v>
      </c>
      <c r="C10" t="s">
        <v>68</v>
      </c>
      <c r="D10" s="3" t="s">
        <v>70</v>
      </c>
      <c r="E10" t="s">
        <v>69</v>
      </c>
      <c r="F10" s="9" t="s">
        <v>71</v>
      </c>
      <c r="G10" t="s">
        <v>21</v>
      </c>
      <c r="H10" t="s">
        <v>72</v>
      </c>
    </row>
    <row r="11" spans="1:8" x14ac:dyDescent="0.25">
      <c r="A11" t="s">
        <v>73</v>
      </c>
      <c r="B11" t="s">
        <v>74</v>
      </c>
      <c r="C11" t="s">
        <v>75</v>
      </c>
      <c r="D11" s="3" t="s">
        <v>77</v>
      </c>
      <c r="E11" t="s">
        <v>76</v>
      </c>
      <c r="F11" s="9" t="s">
        <v>78</v>
      </c>
      <c r="G11" t="s">
        <v>21</v>
      </c>
      <c r="H11" t="s">
        <v>79</v>
      </c>
    </row>
    <row r="12" spans="1:8" x14ac:dyDescent="0.25">
      <c r="A12" t="s">
        <v>80</v>
      </c>
      <c r="B12" t="s">
        <v>81</v>
      </c>
      <c r="C12" t="s">
        <v>82</v>
      </c>
      <c r="D12" s="3" t="s">
        <v>84</v>
      </c>
      <c r="E12" t="s">
        <v>83</v>
      </c>
      <c r="F12" s="9" t="s">
        <v>85</v>
      </c>
      <c r="G12" t="s">
        <v>29</v>
      </c>
      <c r="H12" t="s">
        <v>86</v>
      </c>
    </row>
    <row r="13" spans="1:8" x14ac:dyDescent="0.25">
      <c r="A13" t="s">
        <v>87</v>
      </c>
      <c r="B13" t="s">
        <v>88</v>
      </c>
      <c r="C13" t="s">
        <v>89</v>
      </c>
      <c r="D13" s="3" t="s">
        <v>90</v>
      </c>
      <c r="E13" t="s">
        <v>27</v>
      </c>
      <c r="F13" s="9" t="s">
        <v>91</v>
      </c>
      <c r="G13" t="s">
        <v>29</v>
      </c>
      <c r="H13" t="s">
        <v>92</v>
      </c>
    </row>
    <row r="14" spans="1:8" x14ac:dyDescent="0.25">
      <c r="A14" t="s">
        <v>93</v>
      </c>
      <c r="B14" t="s">
        <v>94</v>
      </c>
      <c r="C14" t="s">
        <v>95</v>
      </c>
      <c r="D14" s="3" t="s">
        <v>97</v>
      </c>
      <c r="E14" t="s">
        <v>96</v>
      </c>
      <c r="F14" s="9" t="s">
        <v>98</v>
      </c>
      <c r="G14" t="s">
        <v>29</v>
      </c>
      <c r="H14" t="s">
        <v>99</v>
      </c>
    </row>
    <row r="15" spans="1:8" x14ac:dyDescent="0.25">
      <c r="A15" t="s">
        <v>100</v>
      </c>
      <c r="B15" t="s">
        <v>101</v>
      </c>
      <c r="C15" t="s">
        <v>102</v>
      </c>
      <c r="D15" s="3" t="s">
        <v>104</v>
      </c>
      <c r="E15" t="s">
        <v>103</v>
      </c>
      <c r="F15" s="9" t="s">
        <v>105</v>
      </c>
      <c r="G15" t="s">
        <v>13</v>
      </c>
      <c r="H15" t="s">
        <v>106</v>
      </c>
    </row>
    <row r="16" spans="1:8" x14ac:dyDescent="0.25">
      <c r="A16" t="s">
        <v>107</v>
      </c>
      <c r="B16" t="s">
        <v>108</v>
      </c>
      <c r="C16" t="s">
        <v>109</v>
      </c>
      <c r="D16" s="3" t="s">
        <v>111</v>
      </c>
      <c r="E16" t="s">
        <v>110</v>
      </c>
      <c r="F16" s="9" t="s">
        <v>112</v>
      </c>
      <c r="G16" t="s">
        <v>13</v>
      </c>
      <c r="H16" t="s">
        <v>113</v>
      </c>
    </row>
    <row r="17" spans="1:8" x14ac:dyDescent="0.25">
      <c r="A17" t="s">
        <v>114</v>
      </c>
      <c r="B17" t="s">
        <v>115</v>
      </c>
      <c r="C17" t="s">
        <v>116</v>
      </c>
      <c r="D17" s="3" t="s">
        <v>117</v>
      </c>
      <c r="E17" t="s">
        <v>27</v>
      </c>
      <c r="F17" s="9" t="s">
        <v>91</v>
      </c>
      <c r="G17" t="s">
        <v>29</v>
      </c>
      <c r="H17" t="s">
        <v>118</v>
      </c>
    </row>
    <row r="18" spans="1:8" x14ac:dyDescent="0.25">
      <c r="A18" t="s">
        <v>119</v>
      </c>
      <c r="B18" t="s">
        <v>120</v>
      </c>
      <c r="C18" t="s">
        <v>121</v>
      </c>
      <c r="D18" s="3" t="s">
        <v>123</v>
      </c>
      <c r="E18" t="s">
        <v>122</v>
      </c>
      <c r="F18" s="9" t="s">
        <v>125</v>
      </c>
      <c r="G18" t="s">
        <v>124</v>
      </c>
      <c r="H18" t="s">
        <v>126</v>
      </c>
    </row>
    <row r="19" spans="1:8" x14ac:dyDescent="0.25">
      <c r="A19" t="s">
        <v>127</v>
      </c>
      <c r="B19" t="s">
        <v>128</v>
      </c>
      <c r="C19" t="s">
        <v>129</v>
      </c>
      <c r="D19" s="3" t="s">
        <v>131</v>
      </c>
      <c r="E19" t="s">
        <v>130</v>
      </c>
      <c r="F19" s="9" t="s">
        <v>132</v>
      </c>
      <c r="G19" t="s">
        <v>29</v>
      </c>
      <c r="H19" t="s">
        <v>133</v>
      </c>
    </row>
    <row r="20" spans="1:8" x14ac:dyDescent="0.25">
      <c r="A20" t="s">
        <v>134</v>
      </c>
      <c r="B20" t="s">
        <v>135</v>
      </c>
      <c r="C20" t="s">
        <v>136</v>
      </c>
      <c r="D20" s="3" t="s">
        <v>137</v>
      </c>
      <c r="E20" t="s">
        <v>27</v>
      </c>
      <c r="F20" s="9" t="s">
        <v>139</v>
      </c>
      <c r="G20" t="s">
        <v>138</v>
      </c>
      <c r="H20" t="s">
        <v>140</v>
      </c>
    </row>
    <row r="21" spans="1:8" x14ac:dyDescent="0.25">
      <c r="A21" t="s">
        <v>141</v>
      </c>
      <c r="B21" t="s">
        <v>142</v>
      </c>
      <c r="C21" t="s">
        <v>143</v>
      </c>
      <c r="D21" s="3" t="s">
        <v>145</v>
      </c>
      <c r="E21" t="s">
        <v>144</v>
      </c>
      <c r="F21" s="9" t="s">
        <v>146</v>
      </c>
      <c r="G21" t="s">
        <v>29</v>
      </c>
      <c r="H21" t="s">
        <v>147</v>
      </c>
    </row>
    <row r="22" spans="1:8" x14ac:dyDescent="0.25">
      <c r="A22" t="s">
        <v>148</v>
      </c>
      <c r="B22" t="s">
        <v>149</v>
      </c>
      <c r="C22" t="s">
        <v>150</v>
      </c>
      <c r="D22" s="3" t="s">
        <v>152</v>
      </c>
      <c r="E22" t="s">
        <v>151</v>
      </c>
      <c r="F22" s="9" t="s">
        <v>153</v>
      </c>
      <c r="G22" t="s">
        <v>21</v>
      </c>
      <c r="H22" t="s">
        <v>154</v>
      </c>
    </row>
    <row r="23" spans="1:8" x14ac:dyDescent="0.25">
      <c r="A23" t="s">
        <v>155</v>
      </c>
      <c r="B23" t="s">
        <v>156</v>
      </c>
      <c r="C23" t="s">
        <v>157</v>
      </c>
      <c r="D23" s="3" t="s">
        <v>159</v>
      </c>
      <c r="E23" t="s">
        <v>158</v>
      </c>
      <c r="F23" s="9" t="s">
        <v>161</v>
      </c>
      <c r="G23" t="s">
        <v>160</v>
      </c>
      <c r="H23" t="s">
        <v>162</v>
      </c>
    </row>
    <row r="24" spans="1:8" x14ac:dyDescent="0.25">
      <c r="A24" t="s">
        <v>163</v>
      </c>
      <c r="B24" t="s">
        <v>164</v>
      </c>
      <c r="C24" t="s">
        <v>165</v>
      </c>
      <c r="D24" s="3" t="s">
        <v>167</v>
      </c>
      <c r="E24" t="s">
        <v>166</v>
      </c>
      <c r="F24" s="9" t="s">
        <v>168</v>
      </c>
      <c r="G24" t="s">
        <v>29</v>
      </c>
      <c r="H24" t="s">
        <v>169</v>
      </c>
    </row>
    <row r="25" spans="1:8" x14ac:dyDescent="0.25">
      <c r="A25" t="s">
        <v>170</v>
      </c>
      <c r="B25" t="s">
        <v>171</v>
      </c>
      <c r="C25" t="s">
        <v>172</v>
      </c>
      <c r="D25" s="3" t="s">
        <v>174</v>
      </c>
      <c r="E25" t="s">
        <v>173</v>
      </c>
      <c r="F25" s="9" t="s">
        <v>175</v>
      </c>
      <c r="G25" t="s">
        <v>21</v>
      </c>
      <c r="H25" t="s">
        <v>176</v>
      </c>
    </row>
    <row r="26" spans="1:8" x14ac:dyDescent="0.25">
      <c r="A26" t="s">
        <v>177</v>
      </c>
      <c r="B26" t="s">
        <v>178</v>
      </c>
      <c r="C26" t="s">
        <v>179</v>
      </c>
      <c r="D26" s="3" t="s">
        <v>181</v>
      </c>
      <c r="E26" t="s">
        <v>180</v>
      </c>
      <c r="F26" s="9" t="s">
        <v>182</v>
      </c>
      <c r="G26" t="s">
        <v>29</v>
      </c>
      <c r="H26" t="s">
        <v>183</v>
      </c>
    </row>
    <row r="27" spans="1:8" x14ac:dyDescent="0.25">
      <c r="A27" t="s">
        <v>184</v>
      </c>
      <c r="B27" t="s">
        <v>185</v>
      </c>
      <c r="C27" t="s">
        <v>186</v>
      </c>
      <c r="D27" s="3" t="s">
        <v>188</v>
      </c>
      <c r="E27" t="s">
        <v>187</v>
      </c>
      <c r="F27" s="9" t="s">
        <v>189</v>
      </c>
      <c r="G27" t="s">
        <v>21</v>
      </c>
      <c r="H27" t="s">
        <v>190</v>
      </c>
    </row>
    <row r="28" spans="1:8" x14ac:dyDescent="0.25">
      <c r="A28" t="s">
        <v>191</v>
      </c>
      <c r="B28" t="s">
        <v>192</v>
      </c>
      <c r="C28" t="s">
        <v>193</v>
      </c>
      <c r="D28" s="3" t="s">
        <v>195</v>
      </c>
      <c r="E28" t="s">
        <v>194</v>
      </c>
      <c r="F28" s="9" t="s">
        <v>196</v>
      </c>
      <c r="G28" t="s">
        <v>21</v>
      </c>
      <c r="H28" t="s">
        <v>197</v>
      </c>
    </row>
    <row r="29" spans="1:8" x14ac:dyDescent="0.25">
      <c r="A29" t="s">
        <v>198</v>
      </c>
      <c r="B29" t="s">
        <v>199</v>
      </c>
      <c r="C29" t="s">
        <v>200</v>
      </c>
      <c r="D29" s="3" t="s">
        <v>201</v>
      </c>
      <c r="E29" t="s">
        <v>27</v>
      </c>
      <c r="F29" s="9" t="s">
        <v>202</v>
      </c>
      <c r="G29" t="s">
        <v>29</v>
      </c>
      <c r="H29" t="s">
        <v>203</v>
      </c>
    </row>
    <row r="30" spans="1:8" x14ac:dyDescent="0.25">
      <c r="A30" t="s">
        <v>204</v>
      </c>
      <c r="B30" t="s">
        <v>205</v>
      </c>
      <c r="C30" t="s">
        <v>206</v>
      </c>
      <c r="D30" s="3" t="s">
        <v>207</v>
      </c>
      <c r="E30" t="s">
        <v>151</v>
      </c>
      <c r="F30" s="9" t="s">
        <v>208</v>
      </c>
      <c r="G30" t="s">
        <v>21</v>
      </c>
      <c r="H30" t="s">
        <v>209</v>
      </c>
    </row>
    <row r="31" spans="1:8" x14ac:dyDescent="0.25">
      <c r="A31" t="s">
        <v>210</v>
      </c>
      <c r="B31" t="s">
        <v>211</v>
      </c>
      <c r="C31" t="s">
        <v>212</v>
      </c>
      <c r="D31" s="3" t="s">
        <v>214</v>
      </c>
      <c r="E31" t="s">
        <v>213</v>
      </c>
      <c r="F31" s="9" t="s">
        <v>215</v>
      </c>
      <c r="G31" t="s">
        <v>21</v>
      </c>
      <c r="H31" t="s">
        <v>216</v>
      </c>
    </row>
    <row r="32" spans="1:8" x14ac:dyDescent="0.25">
      <c r="A32" t="s">
        <v>217</v>
      </c>
      <c r="B32" t="s">
        <v>218</v>
      </c>
      <c r="C32" t="s">
        <v>219</v>
      </c>
      <c r="D32" s="3" t="s">
        <v>221</v>
      </c>
      <c r="E32" t="s">
        <v>220</v>
      </c>
      <c r="F32" s="9" t="s">
        <v>222</v>
      </c>
      <c r="G32" t="s">
        <v>21</v>
      </c>
      <c r="H32" t="s">
        <v>223</v>
      </c>
    </row>
    <row r="33" spans="1:8" x14ac:dyDescent="0.25">
      <c r="A33" t="s">
        <v>224</v>
      </c>
      <c r="B33" t="s">
        <v>225</v>
      </c>
      <c r="C33" t="s">
        <v>226</v>
      </c>
      <c r="D33" s="3" t="s">
        <v>228</v>
      </c>
      <c r="E33" t="s">
        <v>227</v>
      </c>
      <c r="F33" s="9" t="s">
        <v>229</v>
      </c>
      <c r="G33" t="s">
        <v>21</v>
      </c>
      <c r="H33" t="s">
        <v>230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BB22A-0232-447A-92DE-5D29BBA1A246}">
  <dimension ref="A1:H102"/>
  <sheetViews>
    <sheetView workbookViewId="0">
      <selection activeCell="H2" sqref="H2"/>
    </sheetView>
  </sheetViews>
  <sheetFormatPr defaultRowHeight="15" x14ac:dyDescent="0.25"/>
  <cols>
    <col min="2" max="2" width="31.140625" bestFit="1" customWidth="1"/>
    <col min="3" max="3" width="9.140625" style="7"/>
    <col min="4" max="4" width="0.85546875" customWidth="1"/>
    <col min="5" max="6" width="10.7109375" style="7" customWidth="1"/>
    <col min="7" max="7" width="0.85546875" customWidth="1"/>
  </cols>
  <sheetData>
    <row r="1" spans="1:8" x14ac:dyDescent="0.25">
      <c r="A1" s="5" t="s">
        <v>231</v>
      </c>
      <c r="B1" s="5" t="s">
        <v>232</v>
      </c>
      <c r="C1" s="6" t="s">
        <v>6</v>
      </c>
      <c r="E1" s="12" t="s">
        <v>298</v>
      </c>
      <c r="F1" s="12" t="s">
        <v>306</v>
      </c>
      <c r="H1" s="59" t="s">
        <v>308</v>
      </c>
    </row>
    <row r="2" spans="1:8" x14ac:dyDescent="0.25">
      <c r="A2" t="s">
        <v>8</v>
      </c>
      <c r="B2" t="s">
        <v>233</v>
      </c>
      <c r="C2" s="7">
        <v>7</v>
      </c>
      <c r="E2" s="7" t="b" cm="1">
        <f t="array" aca="1" ref="E2" ca="1">COUNTIF(shame_strongs_fltr, strongs_ls) = 1</f>
        <v>0</v>
      </c>
      <c r="F2" s="7" t="b">
        <f ca="1">COUNTIFS(shame_mdl!S:S, B2, shame_mdl!W:W, "&gt;=0") = 1</f>
        <v>0</v>
      </c>
      <c r="H2" t="b">
        <f ca="1">AND(E2=TRUE, F2=TRUE)</f>
        <v>0</v>
      </c>
    </row>
    <row r="3" spans="1:8" x14ac:dyDescent="0.25">
      <c r="A3" t="s">
        <v>8</v>
      </c>
      <c r="B3" t="s">
        <v>234</v>
      </c>
      <c r="C3" s="7">
        <v>2</v>
      </c>
      <c r="E3" s="7" t="b" cm="1">
        <f t="array" aca="1" ref="E3" ca="1">COUNTIF(shame_strongs_fltr, strongs_ls) = 1</f>
        <v>0</v>
      </c>
      <c r="F3" s="7" t="b">
        <f ca="1">COUNTIFS(shame_mdl!S:S, B3, shame_mdl!W:W, "&gt;=0") = 1</f>
        <v>0</v>
      </c>
      <c r="H3" t="b">
        <f t="shared" ref="H3:H66" ca="1" si="0">AND(E3=TRUE, F3=TRUE)</f>
        <v>0</v>
      </c>
    </row>
    <row r="4" spans="1:8" x14ac:dyDescent="0.25">
      <c r="A4" t="s">
        <v>8</v>
      </c>
      <c r="B4" t="s">
        <v>235</v>
      </c>
      <c r="C4" s="7">
        <v>1</v>
      </c>
      <c r="E4" s="7" t="b" cm="1">
        <f t="array" aca="1" ref="E4" ca="1">COUNTIF(shame_strongs_fltr, strongs_ls) = 1</f>
        <v>0</v>
      </c>
      <c r="F4" s="7" t="b">
        <f ca="1">COUNTIFS(shame_mdl!S:S, B4, shame_mdl!W:W, "&gt;=0") = 1</f>
        <v>0</v>
      </c>
      <c r="H4" t="b">
        <f t="shared" ca="1" si="0"/>
        <v>0</v>
      </c>
    </row>
    <row r="5" spans="1:8" x14ac:dyDescent="0.25">
      <c r="A5" t="s">
        <v>8</v>
      </c>
      <c r="B5" t="s">
        <v>236</v>
      </c>
      <c r="C5" s="7">
        <v>1</v>
      </c>
      <c r="E5" s="7" t="b" cm="1">
        <f t="array" aca="1" ref="E5" ca="1">COUNTIF(shame_strongs_fltr, strongs_ls) = 1</f>
        <v>0</v>
      </c>
      <c r="F5" s="7" t="b">
        <f ca="1">COUNTIFS(shame_mdl!S:S, B5, shame_mdl!W:W, "&gt;=0") = 1</f>
        <v>0</v>
      </c>
      <c r="H5" t="b">
        <f t="shared" ca="1" si="0"/>
        <v>0</v>
      </c>
    </row>
    <row r="6" spans="1:8" x14ac:dyDescent="0.25">
      <c r="A6" t="s">
        <v>16</v>
      </c>
      <c r="B6" t="s">
        <v>237</v>
      </c>
      <c r="C6" s="7">
        <v>72</v>
      </c>
      <c r="E6" s="7" t="b" cm="1">
        <f t="array" aca="1" ref="E6" ca="1">COUNTIF(shame_strongs_fltr, strongs_ls) = 1</f>
        <v>1</v>
      </c>
      <c r="F6" s="7" t="b">
        <f ca="1">COUNTIFS(shame_mdl!S:S, B6, shame_mdl!W:W, "&gt;=0") = 1</f>
        <v>1</v>
      </c>
      <c r="H6" t="b">
        <f t="shared" ca="1" si="0"/>
        <v>1</v>
      </c>
    </row>
    <row r="7" spans="1:8" x14ac:dyDescent="0.25">
      <c r="A7" t="s">
        <v>16</v>
      </c>
      <c r="B7" t="s">
        <v>238</v>
      </c>
      <c r="C7" s="7">
        <v>21</v>
      </c>
      <c r="E7" s="7" t="b" cm="1">
        <f t="array" aca="1" ref="E7" ca="1">COUNTIF(shame_strongs_fltr, strongs_ls) = 1</f>
        <v>1</v>
      </c>
      <c r="F7" s="7" t="b">
        <f ca="1">COUNTIFS(shame_mdl!S:S, B7, shame_mdl!W:W, "&gt;=0") = 1</f>
        <v>1</v>
      </c>
      <c r="H7" t="b">
        <f t="shared" ca="1" si="0"/>
        <v>1</v>
      </c>
    </row>
    <row r="8" spans="1:8" x14ac:dyDescent="0.25">
      <c r="A8" t="s">
        <v>16</v>
      </c>
      <c r="B8" t="s">
        <v>27</v>
      </c>
      <c r="C8" s="7">
        <v>9</v>
      </c>
      <c r="E8" s="7" t="b" cm="1">
        <f t="array" aca="1" ref="E8" ca="1">COUNTIF(shame_strongs_fltr, strongs_ls) = 1</f>
        <v>1</v>
      </c>
      <c r="F8" s="7" t="b">
        <f ca="1">COUNTIFS(shame_mdl!S:S, B8, shame_mdl!W:W, "&gt;=0") = 1</f>
        <v>1</v>
      </c>
      <c r="H8" t="b">
        <f t="shared" ca="1" si="0"/>
        <v>1</v>
      </c>
    </row>
    <row r="9" spans="1:8" x14ac:dyDescent="0.25">
      <c r="A9" t="s">
        <v>16</v>
      </c>
      <c r="B9" t="s">
        <v>239</v>
      </c>
      <c r="C9" s="7">
        <v>1</v>
      </c>
      <c r="E9" s="7" t="b" cm="1">
        <f t="array" aca="1" ref="E9" ca="1">COUNTIF(shame_strongs_fltr, strongs_ls) = 1</f>
        <v>1</v>
      </c>
      <c r="F9" s="7" t="b">
        <f ca="1">COUNTIFS(shame_mdl!S:S, B9, shame_mdl!W:W, "&gt;=0") = 1</f>
        <v>0</v>
      </c>
      <c r="H9" t="b">
        <f t="shared" ca="1" si="0"/>
        <v>0</v>
      </c>
    </row>
    <row r="10" spans="1:8" x14ac:dyDescent="0.25">
      <c r="A10" t="s">
        <v>16</v>
      </c>
      <c r="B10" t="s">
        <v>240</v>
      </c>
      <c r="C10" s="7">
        <v>1</v>
      </c>
      <c r="E10" s="7" t="b" cm="1">
        <f t="array" aca="1" ref="E10" ca="1">COUNTIF(shame_strongs_fltr, strongs_ls) = 1</f>
        <v>1</v>
      </c>
      <c r="F10" s="7" t="b">
        <f ca="1">COUNTIFS(shame_mdl!S:S, B10, shame_mdl!W:W, "&gt;=0") = 1</f>
        <v>0</v>
      </c>
      <c r="H10" t="b">
        <f t="shared" ca="1" si="0"/>
        <v>0</v>
      </c>
    </row>
    <row r="11" spans="1:8" x14ac:dyDescent="0.25">
      <c r="A11" t="s">
        <v>16</v>
      </c>
      <c r="B11" t="s">
        <v>241</v>
      </c>
      <c r="C11" s="7">
        <v>1</v>
      </c>
      <c r="E11" s="7" t="b" cm="1">
        <f t="array" aca="1" ref="E11" ca="1">COUNTIF(shame_strongs_fltr, strongs_ls) = 1</f>
        <v>1</v>
      </c>
      <c r="F11" s="7" t="b">
        <f ca="1">COUNTIFS(shame_mdl!S:S, B11, shame_mdl!W:W, "&gt;=0") = 1</f>
        <v>0</v>
      </c>
      <c r="H11" t="b">
        <f t="shared" ca="1" si="0"/>
        <v>0</v>
      </c>
    </row>
    <row r="12" spans="1:8" x14ac:dyDescent="0.25">
      <c r="A12" t="s">
        <v>16</v>
      </c>
      <c r="B12" t="s">
        <v>242</v>
      </c>
      <c r="C12" s="7">
        <v>1</v>
      </c>
      <c r="E12" s="7" t="b" cm="1">
        <f t="array" aca="1" ref="E12" ca="1">COUNTIF(shame_strongs_fltr, strongs_ls) = 1</f>
        <v>1</v>
      </c>
      <c r="F12" s="7" t="b">
        <f ca="1">COUNTIFS(shame_mdl!S:S, B12, shame_mdl!W:W, "&gt;=0") = 1</f>
        <v>0</v>
      </c>
      <c r="H12" t="b">
        <f t="shared" ca="1" si="0"/>
        <v>0</v>
      </c>
    </row>
    <row r="13" spans="1:8" x14ac:dyDescent="0.25">
      <c r="A13" t="s">
        <v>16</v>
      </c>
      <c r="B13" t="s">
        <v>236</v>
      </c>
      <c r="C13" s="7">
        <v>1</v>
      </c>
      <c r="E13" s="7" t="b" cm="1">
        <f t="array" aca="1" ref="E13" ca="1">COUNTIF(shame_strongs_fltr, strongs_ls) = 1</f>
        <v>1</v>
      </c>
      <c r="F13" s="7" t="b">
        <f ca="1">COUNTIFS(shame_mdl!S:S, B13, shame_mdl!W:W, "&gt;=0") = 1</f>
        <v>0</v>
      </c>
      <c r="H13" t="b">
        <f t="shared" ca="1" si="0"/>
        <v>0</v>
      </c>
    </row>
    <row r="14" spans="1:8" x14ac:dyDescent="0.25">
      <c r="A14" t="s">
        <v>24</v>
      </c>
      <c r="B14" t="s">
        <v>27</v>
      </c>
      <c r="C14" s="7">
        <v>4</v>
      </c>
      <c r="E14" s="7" t="b" cm="1">
        <f t="array" aca="1" ref="E14" ca="1">COUNTIF(shame_strongs_fltr, strongs_ls) = 1</f>
        <v>0</v>
      </c>
      <c r="F14" s="7" t="b">
        <f ca="1">COUNTIFS(shame_mdl!S:S, B14, shame_mdl!W:W, "&gt;=0") = 1</f>
        <v>1</v>
      </c>
      <c r="H14" t="b">
        <f t="shared" ca="1" si="0"/>
        <v>0</v>
      </c>
    </row>
    <row r="15" spans="1:8" x14ac:dyDescent="0.25">
      <c r="A15" t="s">
        <v>32</v>
      </c>
      <c r="B15" t="s">
        <v>27</v>
      </c>
      <c r="C15" s="7">
        <v>1</v>
      </c>
      <c r="E15" s="7" t="b" cm="1">
        <f t="array" aca="1" ref="E15" ca="1">COUNTIF(shame_strongs_fltr, strongs_ls) = 1</f>
        <v>0</v>
      </c>
      <c r="F15" s="7" t="b">
        <f ca="1">COUNTIFS(shame_mdl!S:S, B15, shame_mdl!W:W, "&gt;=0") = 1</f>
        <v>1</v>
      </c>
      <c r="H15" t="b">
        <f t="shared" ca="1" si="0"/>
        <v>0</v>
      </c>
    </row>
    <row r="16" spans="1:8" x14ac:dyDescent="0.25">
      <c r="A16" t="s">
        <v>38</v>
      </c>
      <c r="B16" t="s">
        <v>27</v>
      </c>
      <c r="C16" s="7">
        <v>20</v>
      </c>
      <c r="E16" s="7" t="b" cm="1">
        <f t="array" aca="1" ref="E16" ca="1">COUNTIF(shame_strongs_fltr, strongs_ls) = 1</f>
        <v>1</v>
      </c>
      <c r="F16" s="7" t="b">
        <f ca="1">COUNTIFS(shame_mdl!S:S, B16, shame_mdl!W:W, "&gt;=0") = 1</f>
        <v>1</v>
      </c>
      <c r="H16" t="b">
        <f t="shared" ca="1" si="0"/>
        <v>1</v>
      </c>
    </row>
    <row r="17" spans="1:8" x14ac:dyDescent="0.25">
      <c r="A17" t="s">
        <v>38</v>
      </c>
      <c r="B17" t="s">
        <v>239</v>
      </c>
      <c r="C17" s="7">
        <v>7</v>
      </c>
      <c r="E17" s="7" t="b" cm="1">
        <f t="array" aca="1" ref="E17" ca="1">COUNTIF(shame_strongs_fltr, strongs_ls) = 1</f>
        <v>1</v>
      </c>
      <c r="F17" s="7" t="b">
        <f ca="1">COUNTIFS(shame_mdl!S:S, B17, shame_mdl!W:W, "&gt;=0") = 1</f>
        <v>0</v>
      </c>
      <c r="H17" t="b">
        <f t="shared" ca="1" si="0"/>
        <v>0</v>
      </c>
    </row>
    <row r="18" spans="1:8" x14ac:dyDescent="0.25">
      <c r="A18" t="s">
        <v>38</v>
      </c>
      <c r="B18" t="s">
        <v>237</v>
      </c>
      <c r="C18" s="7">
        <v>1</v>
      </c>
      <c r="E18" s="7" t="b" cm="1">
        <f t="array" aca="1" ref="E18" ca="1">COUNTIF(shame_strongs_fltr, strongs_ls) = 1</f>
        <v>1</v>
      </c>
      <c r="F18" s="7" t="b">
        <f ca="1">COUNTIFS(shame_mdl!S:S, B18, shame_mdl!W:W, "&gt;=0") = 1</f>
        <v>1</v>
      </c>
      <c r="H18" t="b">
        <f t="shared" ca="1" si="0"/>
        <v>1</v>
      </c>
    </row>
    <row r="19" spans="1:8" x14ac:dyDescent="0.25">
      <c r="A19" t="s">
        <v>38</v>
      </c>
      <c r="B19" t="s">
        <v>243</v>
      </c>
      <c r="C19" s="7">
        <v>1</v>
      </c>
      <c r="E19" s="7" t="b" cm="1">
        <f t="array" aca="1" ref="E19" ca="1">COUNTIF(shame_strongs_fltr, strongs_ls) = 1</f>
        <v>1</v>
      </c>
      <c r="F19" s="7" t="b">
        <f ca="1">COUNTIFS(shame_mdl!S:S, B19, shame_mdl!W:W, "&gt;=0") = 1</f>
        <v>0</v>
      </c>
      <c r="H19" t="b">
        <f t="shared" ca="1" si="0"/>
        <v>0</v>
      </c>
    </row>
    <row r="20" spans="1:8" x14ac:dyDescent="0.25">
      <c r="A20" t="s">
        <v>38</v>
      </c>
      <c r="B20" t="s">
        <v>244</v>
      </c>
      <c r="C20" s="7">
        <v>1</v>
      </c>
      <c r="E20" s="7" t="b" cm="1">
        <f t="array" aca="1" ref="E20" ca="1">COUNTIF(shame_strongs_fltr, strongs_ls) = 1</f>
        <v>1</v>
      </c>
      <c r="F20" s="7" t="b">
        <f ca="1">COUNTIFS(shame_mdl!S:S, B20, shame_mdl!W:W, "&gt;=0") = 1</f>
        <v>0</v>
      </c>
      <c r="H20" t="b">
        <f t="shared" ca="1" si="0"/>
        <v>0</v>
      </c>
    </row>
    <row r="21" spans="1:8" x14ac:dyDescent="0.25">
      <c r="A21" t="s">
        <v>45</v>
      </c>
      <c r="B21" t="s">
        <v>245</v>
      </c>
      <c r="C21" s="7">
        <v>2</v>
      </c>
      <c r="E21" s="7" t="b" cm="1">
        <f t="array" aca="1" ref="E21" ca="1">COUNTIF(shame_strongs_fltr, strongs_ls) = 1</f>
        <v>0</v>
      </c>
      <c r="F21" s="7" t="b">
        <f ca="1">COUNTIFS(shame_mdl!S:S, B21, shame_mdl!W:W, "&gt;=0") = 1</f>
        <v>0</v>
      </c>
      <c r="H21" t="b">
        <f t="shared" ca="1" si="0"/>
        <v>0</v>
      </c>
    </row>
    <row r="22" spans="1:8" x14ac:dyDescent="0.25">
      <c r="A22" t="s">
        <v>45</v>
      </c>
      <c r="B22" t="s">
        <v>246</v>
      </c>
      <c r="C22" s="7">
        <v>1</v>
      </c>
      <c r="E22" s="7" t="b" cm="1">
        <f t="array" aca="1" ref="E22" ca="1">COUNTIF(shame_strongs_fltr, strongs_ls) = 1</f>
        <v>0</v>
      </c>
      <c r="F22" s="7" t="b">
        <f ca="1">COUNTIFS(shame_mdl!S:S, B22, shame_mdl!W:W, "&gt;=0") = 1</f>
        <v>0</v>
      </c>
      <c r="H22" t="b">
        <f t="shared" ca="1" si="0"/>
        <v>0</v>
      </c>
    </row>
    <row r="23" spans="1:8" x14ac:dyDescent="0.25">
      <c r="A23" t="s">
        <v>52</v>
      </c>
      <c r="B23" t="s">
        <v>238</v>
      </c>
      <c r="C23" s="7">
        <v>6</v>
      </c>
      <c r="E23" s="7" t="b" cm="1">
        <f t="array" aca="1" ref="E23" ca="1">COUNTIF(shame_strongs_fltr, strongs_ls) = 1</f>
        <v>1</v>
      </c>
      <c r="F23" s="7" t="b">
        <f ca="1">COUNTIFS(shame_mdl!S:S, B23, shame_mdl!W:W, "&gt;=0") = 1</f>
        <v>1</v>
      </c>
      <c r="H23" t="b">
        <f t="shared" ca="1" si="0"/>
        <v>1</v>
      </c>
    </row>
    <row r="24" spans="1:8" x14ac:dyDescent="0.25">
      <c r="A24" t="s">
        <v>52</v>
      </c>
      <c r="B24" t="s">
        <v>237</v>
      </c>
      <c r="C24" s="7">
        <v>4</v>
      </c>
      <c r="E24" s="7" t="b" cm="1">
        <f t="array" aca="1" ref="E24" ca="1">COUNTIF(shame_strongs_fltr, strongs_ls) = 1</f>
        <v>1</v>
      </c>
      <c r="F24" s="7" t="b">
        <f ca="1">COUNTIFS(shame_mdl!S:S, B24, shame_mdl!W:W, "&gt;=0") = 1</f>
        <v>1</v>
      </c>
      <c r="H24" t="b">
        <f t="shared" ca="1" si="0"/>
        <v>1</v>
      </c>
    </row>
    <row r="25" spans="1:8" x14ac:dyDescent="0.25">
      <c r="A25" t="s">
        <v>52</v>
      </c>
      <c r="B25" t="s">
        <v>27</v>
      </c>
      <c r="C25" s="7">
        <v>4</v>
      </c>
      <c r="E25" s="7" t="b" cm="1">
        <f t="array" aca="1" ref="E25" ca="1">COUNTIF(shame_strongs_fltr, strongs_ls) = 1</f>
        <v>1</v>
      </c>
      <c r="F25" s="7" t="b">
        <f ca="1">COUNTIFS(shame_mdl!S:S, B25, shame_mdl!W:W, "&gt;=0") = 1</f>
        <v>1</v>
      </c>
      <c r="H25" t="b">
        <f t="shared" ca="1" si="0"/>
        <v>1</v>
      </c>
    </row>
    <row r="26" spans="1:8" x14ac:dyDescent="0.25">
      <c r="A26" t="s">
        <v>52</v>
      </c>
      <c r="B26" t="s">
        <v>239</v>
      </c>
      <c r="C26" s="7">
        <v>2</v>
      </c>
      <c r="E26" s="7" t="b" cm="1">
        <f t="array" aca="1" ref="E26" ca="1">COUNTIF(shame_strongs_fltr, strongs_ls) = 1</f>
        <v>1</v>
      </c>
      <c r="F26" s="7" t="b">
        <f ca="1">COUNTIFS(shame_mdl!S:S, B26, shame_mdl!W:W, "&gt;=0") = 1</f>
        <v>0</v>
      </c>
      <c r="H26" t="b">
        <f t="shared" ca="1" si="0"/>
        <v>0</v>
      </c>
    </row>
    <row r="27" spans="1:8" x14ac:dyDescent="0.25">
      <c r="A27" t="s">
        <v>52</v>
      </c>
      <c r="B27" t="s">
        <v>247</v>
      </c>
      <c r="C27" s="7">
        <v>1</v>
      </c>
      <c r="E27" s="7" t="b" cm="1">
        <f t="array" aca="1" ref="E27" ca="1">COUNTIF(shame_strongs_fltr, strongs_ls) = 1</f>
        <v>1</v>
      </c>
      <c r="F27" s="7" t="b">
        <f ca="1">COUNTIFS(shame_mdl!S:S, B27, shame_mdl!W:W, "&gt;=0") = 1</f>
        <v>1</v>
      </c>
      <c r="H27" t="b">
        <f t="shared" ca="1" si="0"/>
        <v>1</v>
      </c>
    </row>
    <row r="28" spans="1:8" x14ac:dyDescent="0.25">
      <c r="A28" t="s">
        <v>59</v>
      </c>
      <c r="B28" t="s">
        <v>247</v>
      </c>
      <c r="C28" s="7">
        <v>67</v>
      </c>
      <c r="E28" s="7" t="b" cm="1">
        <f t="array" aca="1" ref="E28" ca="1">COUNTIF(shame_strongs_fltr, strongs_ls) = 1</f>
        <v>1</v>
      </c>
      <c r="F28" s="7" t="b">
        <f ca="1">COUNTIFS(shame_mdl!S:S, B28, shame_mdl!W:W, "&gt;=0") = 1</f>
        <v>1</v>
      </c>
      <c r="H28" t="b">
        <f t="shared" ca="1" si="0"/>
        <v>1</v>
      </c>
    </row>
    <row r="29" spans="1:8" x14ac:dyDescent="0.25">
      <c r="A29" t="s">
        <v>59</v>
      </c>
      <c r="B29" t="s">
        <v>27</v>
      </c>
      <c r="C29" s="7">
        <v>3</v>
      </c>
      <c r="E29" s="7" t="b" cm="1">
        <f t="array" aca="1" ref="E29" ca="1">COUNTIF(shame_strongs_fltr, strongs_ls) = 1</f>
        <v>1</v>
      </c>
      <c r="F29" s="7" t="b">
        <f ca="1">COUNTIFS(shame_mdl!S:S, B29, shame_mdl!W:W, "&gt;=0") = 1</f>
        <v>1</v>
      </c>
      <c r="H29" t="b">
        <f t="shared" ca="1" si="0"/>
        <v>1</v>
      </c>
    </row>
    <row r="30" spans="1:8" x14ac:dyDescent="0.25">
      <c r="A30" t="s">
        <v>59</v>
      </c>
      <c r="B30" t="s">
        <v>248</v>
      </c>
      <c r="C30" s="7">
        <v>2</v>
      </c>
      <c r="E30" s="7" t="b" cm="1">
        <f t="array" aca="1" ref="E30" ca="1">COUNTIF(shame_strongs_fltr, strongs_ls) = 1</f>
        <v>1</v>
      </c>
      <c r="F30" s="7" t="b">
        <f ca="1">COUNTIFS(shame_mdl!S:S, B30, shame_mdl!W:W, "&gt;=0") = 1</f>
        <v>0</v>
      </c>
      <c r="H30" t="b">
        <f t="shared" ca="1" si="0"/>
        <v>0</v>
      </c>
    </row>
    <row r="31" spans="1:8" x14ac:dyDescent="0.25">
      <c r="A31" t="s">
        <v>59</v>
      </c>
      <c r="B31" t="s">
        <v>249</v>
      </c>
      <c r="C31" s="7">
        <v>1</v>
      </c>
      <c r="E31" s="7" t="b" cm="1">
        <f t="array" aca="1" ref="E31" ca="1">COUNTIF(shame_strongs_fltr, strongs_ls) = 1</f>
        <v>1</v>
      </c>
      <c r="F31" s="7" t="b">
        <f ca="1">COUNTIFS(shame_mdl!S:S, B31, shame_mdl!W:W, "&gt;=0") = 1</f>
        <v>0</v>
      </c>
      <c r="H31" t="b">
        <f t="shared" ca="1" si="0"/>
        <v>0</v>
      </c>
    </row>
    <row r="32" spans="1:8" x14ac:dyDescent="0.25">
      <c r="A32" t="s">
        <v>66</v>
      </c>
      <c r="B32" t="s">
        <v>250</v>
      </c>
      <c r="C32" s="7">
        <v>27</v>
      </c>
      <c r="E32" s="7" t="b" cm="1">
        <f t="array" aca="1" ref="E32" ca="1">COUNTIF(shame_strongs_fltr, strongs_ls) = 1</f>
        <v>1</v>
      </c>
      <c r="F32" s="7" t="b">
        <f ca="1">COUNTIFS(shame_mdl!S:S, B32, shame_mdl!W:W, "&gt;=0") = 1</f>
        <v>1</v>
      </c>
      <c r="H32" t="b">
        <f t="shared" ca="1" si="0"/>
        <v>1</v>
      </c>
    </row>
    <row r="33" spans="1:8" x14ac:dyDescent="0.25">
      <c r="A33" t="s">
        <v>66</v>
      </c>
      <c r="B33" t="s">
        <v>251</v>
      </c>
      <c r="C33" s="7">
        <v>22</v>
      </c>
      <c r="E33" s="7" t="b" cm="1">
        <f t="array" aca="1" ref="E33" ca="1">COUNTIF(shame_strongs_fltr, strongs_ls) = 1</f>
        <v>1</v>
      </c>
      <c r="F33" s="7" t="b">
        <f ca="1">COUNTIFS(shame_mdl!S:S, B33, shame_mdl!W:W, "&gt;=0") = 1</f>
        <v>1</v>
      </c>
      <c r="H33" t="b">
        <f t="shared" ca="1" si="0"/>
        <v>1</v>
      </c>
    </row>
    <row r="34" spans="1:8" x14ac:dyDescent="0.25">
      <c r="A34" t="s">
        <v>66</v>
      </c>
      <c r="B34" t="s">
        <v>238</v>
      </c>
      <c r="C34" s="7">
        <v>9</v>
      </c>
      <c r="E34" s="7" t="b" cm="1">
        <f t="array" aca="1" ref="E34" ca="1">COUNTIF(shame_strongs_fltr, strongs_ls) = 1</f>
        <v>1</v>
      </c>
      <c r="F34" s="7" t="b">
        <f ca="1">COUNTIFS(shame_mdl!S:S, B34, shame_mdl!W:W, "&gt;=0") = 1</f>
        <v>1</v>
      </c>
      <c r="H34" t="b">
        <f t="shared" ca="1" si="0"/>
        <v>1</v>
      </c>
    </row>
    <row r="35" spans="1:8" x14ac:dyDescent="0.25">
      <c r="A35" t="s">
        <v>66</v>
      </c>
      <c r="B35" t="s">
        <v>237</v>
      </c>
      <c r="C35" s="7">
        <v>7</v>
      </c>
      <c r="E35" s="7" t="b" cm="1">
        <f t="array" aca="1" ref="E35" ca="1">COUNTIF(shame_strongs_fltr, strongs_ls) = 1</f>
        <v>1</v>
      </c>
      <c r="F35" s="7" t="b">
        <f ca="1">COUNTIFS(shame_mdl!S:S, B35, shame_mdl!W:W, "&gt;=0") = 1</f>
        <v>1</v>
      </c>
      <c r="H35" t="b">
        <f t="shared" ca="1" si="0"/>
        <v>1</v>
      </c>
    </row>
    <row r="36" spans="1:8" x14ac:dyDescent="0.25">
      <c r="A36" t="s">
        <v>66</v>
      </c>
      <c r="B36" t="s">
        <v>241</v>
      </c>
      <c r="C36" s="7">
        <v>7</v>
      </c>
      <c r="E36" s="7" t="b" cm="1">
        <f t="array" aca="1" ref="E36" ca="1">COUNTIF(shame_strongs_fltr, strongs_ls) = 1</f>
        <v>1</v>
      </c>
      <c r="F36" s="7" t="b">
        <f ca="1">COUNTIFS(shame_mdl!S:S, B36, shame_mdl!W:W, "&gt;=0") = 1</f>
        <v>0</v>
      </c>
      <c r="H36" t="b">
        <f t="shared" ca="1" si="0"/>
        <v>0</v>
      </c>
    </row>
    <row r="37" spans="1:8" x14ac:dyDescent="0.25">
      <c r="A37" t="s">
        <v>66</v>
      </c>
      <c r="B37" t="s">
        <v>252</v>
      </c>
      <c r="C37" s="7">
        <v>2</v>
      </c>
      <c r="E37" s="7" t="b" cm="1">
        <f t="array" aca="1" ref="E37" ca="1">COUNTIF(shame_strongs_fltr, strongs_ls) = 1</f>
        <v>1</v>
      </c>
      <c r="F37" s="7" t="b">
        <f ca="1">COUNTIFS(shame_mdl!S:S, B37, shame_mdl!W:W, "&gt;=0") = 1</f>
        <v>0</v>
      </c>
      <c r="H37" t="b">
        <f t="shared" ca="1" si="0"/>
        <v>0</v>
      </c>
    </row>
    <row r="38" spans="1:8" x14ac:dyDescent="0.25">
      <c r="A38" t="s">
        <v>66</v>
      </c>
      <c r="B38" t="s">
        <v>253</v>
      </c>
      <c r="C38" s="7">
        <v>1</v>
      </c>
      <c r="E38" s="7" t="b" cm="1">
        <f t="array" aca="1" ref="E38" ca="1">COUNTIF(shame_strongs_fltr, strongs_ls) = 1</f>
        <v>1</v>
      </c>
      <c r="F38" s="7" t="b">
        <f ca="1">COUNTIFS(shame_mdl!S:S, B38, shame_mdl!W:W, "&gt;=0") = 1</f>
        <v>0</v>
      </c>
      <c r="H38" t="b">
        <f t="shared" ca="1" si="0"/>
        <v>0</v>
      </c>
    </row>
    <row r="39" spans="1:8" x14ac:dyDescent="0.25">
      <c r="A39" t="s">
        <v>66</v>
      </c>
      <c r="B39" t="s">
        <v>236</v>
      </c>
      <c r="C39" s="7">
        <v>1</v>
      </c>
      <c r="E39" s="7" t="b" cm="1">
        <f t="array" aca="1" ref="E39" ca="1">COUNTIF(shame_strongs_fltr, strongs_ls) = 1</f>
        <v>1</v>
      </c>
      <c r="F39" s="7" t="b">
        <f ca="1">COUNTIFS(shame_mdl!S:S, B39, shame_mdl!W:W, "&gt;=0") = 1</f>
        <v>0</v>
      </c>
      <c r="H39" t="b">
        <f t="shared" ca="1" si="0"/>
        <v>0</v>
      </c>
    </row>
    <row r="40" spans="1:8" x14ac:dyDescent="0.25">
      <c r="A40" t="s">
        <v>66</v>
      </c>
      <c r="B40" t="s">
        <v>254</v>
      </c>
      <c r="C40" s="7">
        <v>1</v>
      </c>
      <c r="E40" s="7" t="b" cm="1">
        <f t="array" aca="1" ref="E40" ca="1">COUNTIF(shame_strongs_fltr, strongs_ls) = 1</f>
        <v>1</v>
      </c>
      <c r="F40" s="7" t="b">
        <f ca="1">COUNTIFS(shame_mdl!S:S, B40, shame_mdl!W:W, "&gt;=0") = 1</f>
        <v>0</v>
      </c>
      <c r="H40" t="b">
        <f t="shared" ca="1" si="0"/>
        <v>0</v>
      </c>
    </row>
    <row r="41" spans="1:8" x14ac:dyDescent="0.25">
      <c r="A41" t="s">
        <v>66</v>
      </c>
      <c r="B41" t="s">
        <v>255</v>
      </c>
      <c r="C41" s="7">
        <v>1</v>
      </c>
      <c r="E41" s="7" t="b" cm="1">
        <f t="array" aca="1" ref="E41" ca="1">COUNTIF(shame_strongs_fltr, strongs_ls) = 1</f>
        <v>1</v>
      </c>
      <c r="F41" s="7" t="b">
        <f ca="1">COUNTIFS(shame_mdl!S:S, B41, shame_mdl!W:W, "&gt;=0") = 1</f>
        <v>0</v>
      </c>
      <c r="H41" t="b">
        <f t="shared" ca="1" si="0"/>
        <v>0</v>
      </c>
    </row>
    <row r="42" spans="1:8" x14ac:dyDescent="0.25">
      <c r="A42" t="s">
        <v>73</v>
      </c>
      <c r="B42" t="s">
        <v>237</v>
      </c>
      <c r="C42" s="7">
        <v>12</v>
      </c>
      <c r="E42" s="7" t="b" cm="1">
        <f t="array" aca="1" ref="E42" ca="1">COUNTIF(shame_strongs_fltr, strongs_ls) = 1</f>
        <v>1</v>
      </c>
      <c r="F42" s="7" t="b">
        <f ca="1">COUNTIFS(shame_mdl!S:S, B42, shame_mdl!W:W, "&gt;=0") = 1</f>
        <v>1</v>
      </c>
      <c r="H42" t="b">
        <f t="shared" ca="1" si="0"/>
        <v>1</v>
      </c>
    </row>
    <row r="43" spans="1:8" x14ac:dyDescent="0.25">
      <c r="A43" t="s">
        <v>73</v>
      </c>
      <c r="B43" t="s">
        <v>238</v>
      </c>
      <c r="C43" s="7">
        <v>11</v>
      </c>
      <c r="E43" s="7" t="b" cm="1">
        <f t="array" aca="1" ref="E43" ca="1">COUNTIF(shame_strongs_fltr, strongs_ls) = 1</f>
        <v>1</v>
      </c>
      <c r="F43" s="7" t="b">
        <f ca="1">COUNTIFS(shame_mdl!S:S, B43, shame_mdl!W:W, "&gt;=0") = 1</f>
        <v>1</v>
      </c>
      <c r="H43" t="b">
        <f t="shared" ca="1" si="0"/>
        <v>1</v>
      </c>
    </row>
    <row r="44" spans="1:8" x14ac:dyDescent="0.25">
      <c r="A44" t="s">
        <v>73</v>
      </c>
      <c r="B44" t="s">
        <v>27</v>
      </c>
      <c r="C44" s="7">
        <v>7</v>
      </c>
      <c r="E44" s="7" t="b" cm="1">
        <f t="array" aca="1" ref="E44" ca="1">COUNTIF(shame_strongs_fltr, strongs_ls) = 1</f>
        <v>1</v>
      </c>
      <c r="F44" s="7" t="b">
        <f ca="1">COUNTIFS(shame_mdl!S:S, B44, shame_mdl!W:W, "&gt;=0") = 1</f>
        <v>1</v>
      </c>
      <c r="H44" t="b">
        <f t="shared" ca="1" si="0"/>
        <v>1</v>
      </c>
    </row>
    <row r="45" spans="1:8" x14ac:dyDescent="0.25">
      <c r="A45" t="s">
        <v>73</v>
      </c>
      <c r="B45" t="s">
        <v>256</v>
      </c>
      <c r="C45" s="7">
        <v>3</v>
      </c>
      <c r="E45" s="7" t="b" cm="1">
        <f t="array" aca="1" ref="E45" ca="1">COUNTIF(shame_strongs_fltr, strongs_ls) = 1</f>
        <v>1</v>
      </c>
      <c r="F45" s="7" t="b">
        <f ca="1">COUNTIFS(shame_mdl!S:S, B45, shame_mdl!W:W, "&gt;=0") = 1</f>
        <v>0</v>
      </c>
      <c r="H45" t="b">
        <f t="shared" ca="1" si="0"/>
        <v>0</v>
      </c>
    </row>
    <row r="46" spans="1:8" x14ac:dyDescent="0.25">
      <c r="A46" t="s">
        <v>73</v>
      </c>
      <c r="B46" t="s">
        <v>257</v>
      </c>
      <c r="C46" s="7">
        <v>2</v>
      </c>
      <c r="E46" s="7" t="b" cm="1">
        <f t="array" aca="1" ref="E46" ca="1">COUNTIF(shame_strongs_fltr, strongs_ls) = 1</f>
        <v>1</v>
      </c>
      <c r="F46" s="7" t="b">
        <f ca="1">COUNTIFS(shame_mdl!S:S, B46, shame_mdl!W:W, "&gt;=0") = 1</f>
        <v>0</v>
      </c>
      <c r="H46" t="b">
        <f t="shared" ca="1" si="0"/>
        <v>0</v>
      </c>
    </row>
    <row r="47" spans="1:8" x14ac:dyDescent="0.25">
      <c r="A47" t="s">
        <v>73</v>
      </c>
      <c r="B47" t="s">
        <v>247</v>
      </c>
      <c r="C47" s="7">
        <v>2</v>
      </c>
      <c r="E47" s="7" t="b" cm="1">
        <f t="array" aca="1" ref="E47" ca="1">COUNTIF(shame_strongs_fltr, strongs_ls) = 1</f>
        <v>1</v>
      </c>
      <c r="F47" s="7" t="b">
        <f ca="1">COUNTIFS(shame_mdl!S:S, B47, shame_mdl!W:W, "&gt;=0") = 1</f>
        <v>1</v>
      </c>
      <c r="H47" t="b">
        <f t="shared" ca="1" si="0"/>
        <v>1</v>
      </c>
    </row>
    <row r="48" spans="1:8" x14ac:dyDescent="0.25">
      <c r="A48" t="s">
        <v>73</v>
      </c>
      <c r="B48" t="s">
        <v>239</v>
      </c>
      <c r="C48" s="7">
        <v>1</v>
      </c>
      <c r="E48" s="7" t="b" cm="1">
        <f t="array" aca="1" ref="E48" ca="1">COUNTIF(shame_strongs_fltr, strongs_ls) = 1</f>
        <v>1</v>
      </c>
      <c r="F48" s="7" t="b">
        <f ca="1">COUNTIFS(shame_mdl!S:S, B48, shame_mdl!W:W, "&gt;=0") = 1</f>
        <v>0</v>
      </c>
      <c r="H48" t="b">
        <f t="shared" ca="1" si="0"/>
        <v>0</v>
      </c>
    </row>
    <row r="49" spans="1:8" x14ac:dyDescent="0.25">
      <c r="A49" t="s">
        <v>80</v>
      </c>
      <c r="B49" t="s">
        <v>27</v>
      </c>
      <c r="C49" s="7">
        <v>20</v>
      </c>
      <c r="E49" s="7" t="b" cm="1">
        <f t="array" aca="1" ref="E49" ca="1">COUNTIF(shame_strongs_fltr, strongs_ls) = 1</f>
        <v>1</v>
      </c>
      <c r="F49" s="7" t="b">
        <f ca="1">COUNTIFS(shame_mdl!S:S, B49, shame_mdl!W:W, "&gt;=0") = 1</f>
        <v>1</v>
      </c>
      <c r="H49" t="b">
        <f t="shared" ca="1" si="0"/>
        <v>1</v>
      </c>
    </row>
    <row r="50" spans="1:8" x14ac:dyDescent="0.25">
      <c r="A50" t="s">
        <v>80</v>
      </c>
      <c r="B50" t="s">
        <v>239</v>
      </c>
      <c r="C50" s="7">
        <v>6</v>
      </c>
      <c r="E50" s="7" t="b" cm="1">
        <f t="array" aca="1" ref="E50" ca="1">COUNTIF(shame_strongs_fltr, strongs_ls) = 1</f>
        <v>1</v>
      </c>
      <c r="F50" s="7" t="b">
        <f ca="1">COUNTIFS(shame_mdl!S:S, B50, shame_mdl!W:W, "&gt;=0") = 1</f>
        <v>0</v>
      </c>
      <c r="H50" t="b">
        <f t="shared" ca="1" si="0"/>
        <v>0</v>
      </c>
    </row>
    <row r="51" spans="1:8" x14ac:dyDescent="0.25">
      <c r="A51" t="s">
        <v>80</v>
      </c>
      <c r="B51" t="s">
        <v>258</v>
      </c>
      <c r="C51" s="7">
        <v>3</v>
      </c>
      <c r="E51" s="7" t="b" cm="1">
        <f t="array" aca="1" ref="E51" ca="1">COUNTIF(shame_strongs_fltr, strongs_ls) = 1</f>
        <v>1</v>
      </c>
      <c r="F51" s="7" t="b">
        <f ca="1">COUNTIFS(shame_mdl!S:S, B51, shame_mdl!W:W, "&gt;=0") = 1</f>
        <v>0</v>
      </c>
      <c r="H51" t="b">
        <f t="shared" ca="1" si="0"/>
        <v>0</v>
      </c>
    </row>
    <row r="52" spans="1:8" x14ac:dyDescent="0.25">
      <c r="A52" t="s">
        <v>80</v>
      </c>
      <c r="B52" t="s">
        <v>247</v>
      </c>
      <c r="C52" s="7">
        <v>1</v>
      </c>
      <c r="E52" s="7" t="b" cm="1">
        <f t="array" aca="1" ref="E52" ca="1">COUNTIF(shame_strongs_fltr, strongs_ls) = 1</f>
        <v>1</v>
      </c>
      <c r="F52" s="7" t="b">
        <f ca="1">COUNTIFS(shame_mdl!S:S, B52, shame_mdl!W:W, "&gt;=0") = 1</f>
        <v>1</v>
      </c>
      <c r="H52" t="b">
        <f t="shared" ca="1" si="0"/>
        <v>1</v>
      </c>
    </row>
    <row r="53" spans="1:8" x14ac:dyDescent="0.25">
      <c r="A53" t="s">
        <v>87</v>
      </c>
      <c r="B53" t="s">
        <v>27</v>
      </c>
      <c r="C53" s="7">
        <v>1</v>
      </c>
      <c r="E53" s="7" t="b" cm="1">
        <f t="array" aca="1" ref="E53" ca="1">COUNTIF(shame_strongs_fltr, strongs_ls) = 1</f>
        <v>0</v>
      </c>
      <c r="F53" s="7" t="b">
        <f ca="1">COUNTIFS(shame_mdl!S:S, B53, shame_mdl!W:W, "&gt;=0") = 1</f>
        <v>1</v>
      </c>
      <c r="H53" t="b">
        <f t="shared" ca="1" si="0"/>
        <v>0</v>
      </c>
    </row>
    <row r="54" spans="1:8" x14ac:dyDescent="0.25">
      <c r="A54" t="s">
        <v>93</v>
      </c>
      <c r="B54" t="s">
        <v>259</v>
      </c>
      <c r="C54" s="7">
        <v>50</v>
      </c>
      <c r="E54" s="7" t="b" cm="1">
        <f t="array" aca="1" ref="E54" ca="1">COUNTIF(shame_strongs_fltr, strongs_ls) = 1</f>
        <v>1</v>
      </c>
      <c r="F54" s="7" t="b">
        <f ca="1">COUNTIFS(shame_mdl!S:S, B54, shame_mdl!W:W, "&gt;=0") = 1</f>
        <v>1</v>
      </c>
      <c r="H54" t="b">
        <f t="shared" ca="1" si="0"/>
        <v>1</v>
      </c>
    </row>
    <row r="55" spans="1:8" x14ac:dyDescent="0.25">
      <c r="A55" t="s">
        <v>93</v>
      </c>
      <c r="B55" t="s">
        <v>259</v>
      </c>
      <c r="C55" s="7">
        <v>1</v>
      </c>
      <c r="E55" s="7" t="b" cm="1">
        <f t="array" aca="1" ref="E55" ca="1">COUNTIF(shame_strongs_fltr, strongs_ls) = 1</f>
        <v>1</v>
      </c>
      <c r="F55" s="7" t="b">
        <f ca="1">COUNTIFS(shame_mdl!S:S, B55, shame_mdl!W:W, "&gt;=0") = 1</f>
        <v>1</v>
      </c>
      <c r="H55" t="b">
        <f t="shared" ca="1" si="0"/>
        <v>1</v>
      </c>
    </row>
    <row r="56" spans="1:8" x14ac:dyDescent="0.25">
      <c r="A56" t="s">
        <v>93</v>
      </c>
      <c r="B56" t="s">
        <v>27</v>
      </c>
      <c r="C56" s="7">
        <v>1</v>
      </c>
      <c r="E56" s="7" t="b" cm="1">
        <f t="array" aca="1" ref="E56" ca="1">COUNTIF(shame_strongs_fltr, strongs_ls) = 1</f>
        <v>1</v>
      </c>
      <c r="F56" s="7" t="b">
        <f ca="1">COUNTIFS(shame_mdl!S:S, B56, shame_mdl!W:W, "&gt;=0") = 1</f>
        <v>1</v>
      </c>
      <c r="H56" t="b">
        <f t="shared" ca="1" si="0"/>
        <v>1</v>
      </c>
    </row>
    <row r="57" spans="1:8" x14ac:dyDescent="0.25">
      <c r="A57" t="s">
        <v>93</v>
      </c>
      <c r="B57" t="s">
        <v>260</v>
      </c>
      <c r="C57" s="7">
        <v>1</v>
      </c>
      <c r="E57" s="7" t="b" cm="1">
        <f t="array" aca="1" ref="E57" ca="1">COUNTIF(shame_strongs_fltr, strongs_ls) = 1</f>
        <v>1</v>
      </c>
      <c r="F57" s="7" t="b">
        <f ca="1">COUNTIFS(shame_mdl!S:S, B57, shame_mdl!W:W, "&gt;=0") = 1</f>
        <v>0</v>
      </c>
      <c r="H57" t="b">
        <f t="shared" ca="1" si="0"/>
        <v>0</v>
      </c>
    </row>
    <row r="58" spans="1:8" x14ac:dyDescent="0.25">
      <c r="A58" t="s">
        <v>93</v>
      </c>
      <c r="B58" t="s">
        <v>261</v>
      </c>
      <c r="C58" s="7">
        <v>1</v>
      </c>
      <c r="E58" s="7" t="b" cm="1">
        <f t="array" aca="1" ref="E58" ca="1">COUNTIF(shame_strongs_fltr, strongs_ls) = 1</f>
        <v>1</v>
      </c>
      <c r="F58" s="7" t="b">
        <f ca="1">COUNTIFS(shame_mdl!S:S, B58, shame_mdl!W:W, "&gt;=0") = 1</f>
        <v>0</v>
      </c>
      <c r="H58" t="b">
        <f t="shared" ca="1" si="0"/>
        <v>0</v>
      </c>
    </row>
    <row r="59" spans="1:8" x14ac:dyDescent="0.25">
      <c r="A59" t="s">
        <v>100</v>
      </c>
      <c r="B59" t="s">
        <v>103</v>
      </c>
      <c r="C59" s="7">
        <v>1</v>
      </c>
      <c r="E59" s="7" t="b" cm="1">
        <f t="array" aca="1" ref="E59" ca="1">COUNTIF(shame_strongs_fltr, strongs_ls) = 1</f>
        <v>0</v>
      </c>
      <c r="F59" s="7" t="b">
        <f ca="1">COUNTIFS(shame_mdl!S:S, B59, shame_mdl!W:W, "&gt;=0") = 1</f>
        <v>0</v>
      </c>
      <c r="H59" t="b">
        <f t="shared" ca="1" si="0"/>
        <v>0</v>
      </c>
    </row>
    <row r="60" spans="1:8" x14ac:dyDescent="0.25">
      <c r="A60" t="s">
        <v>107</v>
      </c>
      <c r="B60" t="s">
        <v>27</v>
      </c>
      <c r="C60" s="7">
        <v>13</v>
      </c>
      <c r="E60" s="7" t="b" cm="1">
        <f t="array" aca="1" ref="E60" ca="1">COUNTIF(shame_strongs_fltr, strongs_ls) = 1</f>
        <v>1</v>
      </c>
      <c r="F60" s="7" t="b">
        <f ca="1">COUNTIFS(shame_mdl!S:S, B60, shame_mdl!W:W, "&gt;=0") = 1</f>
        <v>1</v>
      </c>
      <c r="H60" t="b">
        <f t="shared" ca="1" si="0"/>
        <v>1</v>
      </c>
    </row>
    <row r="61" spans="1:8" x14ac:dyDescent="0.25">
      <c r="A61" t="s">
        <v>107</v>
      </c>
      <c r="B61" t="s">
        <v>239</v>
      </c>
      <c r="C61" s="7">
        <v>1</v>
      </c>
      <c r="E61" s="7" t="b" cm="1">
        <f t="array" aca="1" ref="E61" ca="1">COUNTIF(shame_strongs_fltr, strongs_ls) = 1</f>
        <v>1</v>
      </c>
      <c r="F61" s="7" t="b">
        <f ca="1">COUNTIFS(shame_mdl!S:S, B61, shame_mdl!W:W, "&gt;=0") = 1</f>
        <v>0</v>
      </c>
      <c r="H61" t="b">
        <f t="shared" ca="1" si="0"/>
        <v>0</v>
      </c>
    </row>
    <row r="62" spans="1:8" x14ac:dyDescent="0.25">
      <c r="A62" t="s">
        <v>107</v>
      </c>
      <c r="B62" t="s">
        <v>258</v>
      </c>
      <c r="C62" s="7">
        <v>1</v>
      </c>
      <c r="E62" s="7" t="b" cm="1">
        <f t="array" aca="1" ref="E62" ca="1">COUNTIF(shame_strongs_fltr, strongs_ls) = 1</f>
        <v>1</v>
      </c>
      <c r="F62" s="7" t="b">
        <f ca="1">COUNTIFS(shame_mdl!S:S, B62, shame_mdl!W:W, "&gt;=0") = 1</f>
        <v>0</v>
      </c>
      <c r="H62" t="b">
        <f t="shared" ca="1" si="0"/>
        <v>0</v>
      </c>
    </row>
    <row r="63" spans="1:8" x14ac:dyDescent="0.25">
      <c r="A63" t="s">
        <v>107</v>
      </c>
      <c r="B63" t="s">
        <v>262</v>
      </c>
      <c r="C63" s="7">
        <v>1</v>
      </c>
      <c r="E63" s="7" t="b" cm="1">
        <f t="array" aca="1" ref="E63" ca="1">COUNTIF(shame_strongs_fltr, strongs_ls) = 1</f>
        <v>1</v>
      </c>
      <c r="F63" s="7" t="b">
        <f ca="1">COUNTIFS(shame_mdl!S:S, B63, shame_mdl!W:W, "&gt;=0") = 1</f>
        <v>0</v>
      </c>
      <c r="H63" t="b">
        <f t="shared" ca="1" si="0"/>
        <v>0</v>
      </c>
    </row>
    <row r="64" spans="1:8" x14ac:dyDescent="0.25">
      <c r="A64" t="s">
        <v>107</v>
      </c>
      <c r="B64" t="s">
        <v>247</v>
      </c>
      <c r="C64" s="7">
        <v>1</v>
      </c>
      <c r="E64" s="7" t="b" cm="1">
        <f t="array" aca="1" ref="E64" ca="1">COUNTIF(shame_strongs_fltr, strongs_ls) = 1</f>
        <v>1</v>
      </c>
      <c r="F64" s="7" t="b">
        <f ca="1">COUNTIFS(shame_mdl!S:S, B64, shame_mdl!W:W, "&gt;=0") = 1</f>
        <v>1</v>
      </c>
      <c r="H64" t="b">
        <f t="shared" ca="1" si="0"/>
        <v>1</v>
      </c>
    </row>
    <row r="65" spans="1:8" x14ac:dyDescent="0.25">
      <c r="A65" t="s">
        <v>114</v>
      </c>
      <c r="B65" t="s">
        <v>27</v>
      </c>
      <c r="C65" s="7">
        <v>1</v>
      </c>
      <c r="E65" s="7" t="b" cm="1">
        <f t="array" aca="1" ref="E65" ca="1">COUNTIF(shame_strongs_fltr, strongs_ls) = 1</f>
        <v>0</v>
      </c>
      <c r="F65" s="7" t="b">
        <f ca="1">COUNTIFS(shame_mdl!S:S, B65, shame_mdl!W:W, "&gt;=0") = 1</f>
        <v>1</v>
      </c>
      <c r="H65" t="b">
        <f t="shared" ca="1" si="0"/>
        <v>0</v>
      </c>
    </row>
    <row r="66" spans="1:8" x14ac:dyDescent="0.25">
      <c r="A66" t="s">
        <v>119</v>
      </c>
      <c r="B66" t="s">
        <v>263</v>
      </c>
      <c r="C66" s="7">
        <v>2</v>
      </c>
      <c r="E66" s="7" t="b" cm="1">
        <f t="array" aca="1" ref="E66" ca="1">COUNTIF(shame_strongs_fltr, strongs_ls) = 1</f>
        <v>0</v>
      </c>
      <c r="F66" s="7" t="b">
        <f ca="1">COUNTIFS(shame_mdl!S:S, B66, shame_mdl!W:W, "&gt;=0") = 1</f>
        <v>0</v>
      </c>
      <c r="H66" t="b">
        <f t="shared" ca="1" si="0"/>
        <v>0</v>
      </c>
    </row>
    <row r="67" spans="1:8" x14ac:dyDescent="0.25">
      <c r="A67" t="s">
        <v>119</v>
      </c>
      <c r="B67" t="s">
        <v>264</v>
      </c>
      <c r="C67" s="7">
        <v>2</v>
      </c>
      <c r="E67" s="7" t="b" cm="1">
        <f t="array" aca="1" ref="E67" ca="1">COUNTIF(shame_strongs_fltr, strongs_ls) = 1</f>
        <v>0</v>
      </c>
      <c r="F67" s="7" t="b">
        <f ca="1">COUNTIFS(shame_mdl!S:S, B67, shame_mdl!W:W, "&gt;=0") = 1</f>
        <v>0</v>
      </c>
      <c r="H67" t="b">
        <f t="shared" ref="H67:H102" ca="1" si="1">AND(E67=TRUE, F67=TRUE)</f>
        <v>0</v>
      </c>
    </row>
    <row r="68" spans="1:8" x14ac:dyDescent="0.25">
      <c r="A68" t="s">
        <v>119</v>
      </c>
      <c r="B68" t="s">
        <v>265</v>
      </c>
      <c r="C68" s="7">
        <v>1</v>
      </c>
      <c r="E68" s="7" t="b" cm="1">
        <f t="array" aca="1" ref="E68" ca="1">COUNTIF(shame_strongs_fltr, strongs_ls) = 1</f>
        <v>0</v>
      </c>
      <c r="F68" s="7" t="b">
        <f ca="1">COUNTIFS(shame_mdl!S:S, B68, shame_mdl!W:W, "&gt;=0") = 1</f>
        <v>0</v>
      </c>
      <c r="H68" t="b">
        <f t="shared" ca="1" si="1"/>
        <v>0</v>
      </c>
    </row>
    <row r="69" spans="1:8" x14ac:dyDescent="0.25">
      <c r="A69" t="s">
        <v>127</v>
      </c>
      <c r="B69" t="s">
        <v>266</v>
      </c>
      <c r="C69" s="7">
        <v>1</v>
      </c>
      <c r="E69" s="7" t="b" cm="1">
        <f t="array" aca="1" ref="E69" ca="1">COUNTIF(shame_strongs_fltr, strongs_ls) = 1</f>
        <v>0</v>
      </c>
      <c r="F69" s="7" t="b">
        <f ca="1">COUNTIFS(shame_mdl!S:S, B69, shame_mdl!W:W, "&gt;=0") = 1</f>
        <v>0</v>
      </c>
      <c r="H69" t="b">
        <f t="shared" ca="1" si="1"/>
        <v>0</v>
      </c>
    </row>
    <row r="70" spans="1:8" x14ac:dyDescent="0.25">
      <c r="A70" t="s">
        <v>127</v>
      </c>
      <c r="B70" t="s">
        <v>267</v>
      </c>
      <c r="C70" s="7">
        <v>1</v>
      </c>
      <c r="E70" s="7" t="b" cm="1">
        <f t="array" aca="1" ref="E70" ca="1">COUNTIF(shame_strongs_fltr, strongs_ls) = 1</f>
        <v>0</v>
      </c>
      <c r="F70" s="7" t="b">
        <f ca="1">COUNTIFS(shame_mdl!S:S, B70, shame_mdl!W:W, "&gt;=0") = 1</f>
        <v>0</v>
      </c>
      <c r="H70" t="b">
        <f t="shared" ca="1" si="1"/>
        <v>0</v>
      </c>
    </row>
    <row r="71" spans="1:8" x14ac:dyDescent="0.25">
      <c r="A71" t="s">
        <v>134</v>
      </c>
      <c r="B71" t="s">
        <v>27</v>
      </c>
      <c r="C71" s="7">
        <v>3</v>
      </c>
      <c r="E71" s="7" t="b" cm="1">
        <f t="array" aca="1" ref="E71" ca="1">COUNTIF(shame_strongs_fltr, strongs_ls) = 1</f>
        <v>0</v>
      </c>
      <c r="F71" s="7" t="b">
        <f ca="1">COUNTIFS(shame_mdl!S:S, B71, shame_mdl!W:W, "&gt;=0") = 1</f>
        <v>1</v>
      </c>
      <c r="H71" t="b">
        <f t="shared" ca="1" si="1"/>
        <v>0</v>
      </c>
    </row>
    <row r="72" spans="1:8" x14ac:dyDescent="0.25">
      <c r="A72" t="s">
        <v>141</v>
      </c>
      <c r="B72" t="s">
        <v>27</v>
      </c>
      <c r="C72" s="7">
        <v>5</v>
      </c>
      <c r="E72" s="7" t="b" cm="1">
        <f t="array" aca="1" ref="E72" ca="1">COUNTIF(shame_strongs_fltr, strongs_ls) = 1</f>
        <v>0</v>
      </c>
      <c r="F72" s="7" t="b">
        <f ca="1">COUNTIFS(shame_mdl!S:S, B72, shame_mdl!W:W, "&gt;=0") = 1</f>
        <v>1</v>
      </c>
      <c r="H72" t="b">
        <f t="shared" ca="1" si="1"/>
        <v>0</v>
      </c>
    </row>
    <row r="73" spans="1:8" x14ac:dyDescent="0.25">
      <c r="A73" t="s">
        <v>141</v>
      </c>
      <c r="B73" t="s">
        <v>268</v>
      </c>
      <c r="C73" s="7">
        <v>1</v>
      </c>
      <c r="E73" s="7" t="b" cm="1">
        <f t="array" aca="1" ref="E73" ca="1">COUNTIF(shame_strongs_fltr, strongs_ls) = 1</f>
        <v>0</v>
      </c>
      <c r="F73" s="7" t="b">
        <f ca="1">COUNTIFS(shame_mdl!S:S, B73, shame_mdl!W:W, "&gt;=0") = 1</f>
        <v>0</v>
      </c>
      <c r="H73" t="b">
        <f t="shared" ca="1" si="1"/>
        <v>0</v>
      </c>
    </row>
    <row r="74" spans="1:8" x14ac:dyDescent="0.25">
      <c r="A74" t="s">
        <v>148</v>
      </c>
      <c r="B74" t="s">
        <v>151</v>
      </c>
      <c r="C74" s="7">
        <v>5</v>
      </c>
      <c r="E74" s="7" t="b" cm="1">
        <f t="array" aca="1" ref="E74" ca="1">COUNTIF(shame_strongs_fltr, strongs_ls) = 1</f>
        <v>0</v>
      </c>
      <c r="F74" s="7" t="b">
        <f ca="1">COUNTIFS(shame_mdl!S:S, B74, shame_mdl!W:W, "&gt;=0") = 1</f>
        <v>0</v>
      </c>
      <c r="H74" t="b">
        <f t="shared" ca="1" si="1"/>
        <v>0</v>
      </c>
    </row>
    <row r="75" spans="1:8" x14ac:dyDescent="0.25">
      <c r="A75" t="s">
        <v>155</v>
      </c>
      <c r="B75" t="s">
        <v>158</v>
      </c>
      <c r="C75" s="7">
        <v>1</v>
      </c>
      <c r="E75" s="7" t="b" cm="1">
        <f t="array" aca="1" ref="E75" ca="1">COUNTIF(shame_strongs_fltr, strongs_ls) = 1</f>
        <v>0</v>
      </c>
      <c r="F75" s="7" t="b">
        <f ca="1">COUNTIFS(shame_mdl!S:S, B75, shame_mdl!W:W, "&gt;=0") = 1</f>
        <v>0</v>
      </c>
      <c r="H75" t="b">
        <f t="shared" ca="1" si="1"/>
        <v>0</v>
      </c>
    </row>
    <row r="76" spans="1:8" x14ac:dyDescent="0.25">
      <c r="A76" t="s">
        <v>163</v>
      </c>
      <c r="B76" t="s">
        <v>269</v>
      </c>
      <c r="C76" s="7">
        <v>1</v>
      </c>
      <c r="E76" s="7" t="b" cm="1">
        <f t="array" aca="1" ref="E76" ca="1">COUNTIF(shame_strongs_fltr, strongs_ls) = 1</f>
        <v>0</v>
      </c>
      <c r="F76" s="7" t="b">
        <f ca="1">COUNTIFS(shame_mdl!S:S, B76, shame_mdl!W:W, "&gt;=0") = 1</f>
        <v>0</v>
      </c>
      <c r="H76" t="b">
        <f t="shared" ca="1" si="1"/>
        <v>0</v>
      </c>
    </row>
    <row r="77" spans="1:8" x14ac:dyDescent="0.25">
      <c r="A77" t="s">
        <v>163</v>
      </c>
      <c r="B77" t="s">
        <v>27</v>
      </c>
      <c r="C77" s="7">
        <v>1</v>
      </c>
      <c r="E77" s="7" t="b" cm="1">
        <f t="array" aca="1" ref="E77" ca="1">COUNTIF(shame_strongs_fltr, strongs_ls) = 1</f>
        <v>0</v>
      </c>
      <c r="F77" s="7" t="b">
        <f ca="1">COUNTIFS(shame_mdl!S:S, B77, shame_mdl!W:W, "&gt;=0") = 1</f>
        <v>1</v>
      </c>
      <c r="H77" t="b">
        <f t="shared" ca="1" si="1"/>
        <v>0</v>
      </c>
    </row>
    <row r="78" spans="1:8" x14ac:dyDescent="0.25">
      <c r="A78" t="s">
        <v>170</v>
      </c>
      <c r="B78" t="s">
        <v>258</v>
      </c>
      <c r="C78" s="7">
        <v>3</v>
      </c>
      <c r="E78" s="7" t="b" cm="1">
        <f t="array" aca="1" ref="E78" ca="1">COUNTIF(shame_strongs_fltr, strongs_ls) = 1</f>
        <v>0</v>
      </c>
      <c r="F78" s="7" t="b">
        <f ca="1">COUNTIFS(shame_mdl!S:S, B78, shame_mdl!W:W, "&gt;=0") = 1</f>
        <v>0</v>
      </c>
      <c r="H78" t="b">
        <f t="shared" ca="1" si="1"/>
        <v>0</v>
      </c>
    </row>
    <row r="79" spans="1:8" x14ac:dyDescent="0.25">
      <c r="A79" t="s">
        <v>170</v>
      </c>
      <c r="B79" t="s">
        <v>270</v>
      </c>
      <c r="C79" s="7">
        <v>1</v>
      </c>
      <c r="E79" s="7" t="b" cm="1">
        <f t="array" aca="1" ref="E79" ca="1">COUNTIF(shame_strongs_fltr, strongs_ls) = 1</f>
        <v>0</v>
      </c>
      <c r="F79" s="7" t="b">
        <f ca="1">COUNTIFS(shame_mdl!S:S, B79, shame_mdl!W:W, "&gt;=0") = 1</f>
        <v>0</v>
      </c>
      <c r="H79" t="b">
        <f t="shared" ca="1" si="1"/>
        <v>0</v>
      </c>
    </row>
    <row r="80" spans="1:8" x14ac:dyDescent="0.25">
      <c r="A80" t="s">
        <v>170</v>
      </c>
      <c r="B80" t="s">
        <v>271</v>
      </c>
      <c r="C80" s="7">
        <v>1</v>
      </c>
      <c r="E80" s="7" t="b" cm="1">
        <f t="array" aca="1" ref="E80" ca="1">COUNTIF(shame_strongs_fltr, strongs_ls) = 1</f>
        <v>0</v>
      </c>
      <c r="F80" s="7" t="b">
        <f ca="1">COUNTIFS(shame_mdl!S:S, B80, shame_mdl!W:W, "&gt;=0") = 1</f>
        <v>0</v>
      </c>
      <c r="H80" t="b">
        <f t="shared" ca="1" si="1"/>
        <v>0</v>
      </c>
    </row>
    <row r="81" spans="1:8" x14ac:dyDescent="0.25">
      <c r="A81" t="s">
        <v>170</v>
      </c>
      <c r="B81" t="s">
        <v>272</v>
      </c>
      <c r="C81" s="7">
        <v>1</v>
      </c>
      <c r="E81" s="7" t="b" cm="1">
        <f t="array" aca="1" ref="E81" ca="1">COUNTIF(shame_strongs_fltr, strongs_ls) = 1</f>
        <v>0</v>
      </c>
      <c r="F81" s="7" t="b">
        <f ca="1">COUNTIFS(shame_mdl!S:S, B81, shame_mdl!W:W, "&gt;=0") = 1</f>
        <v>0</v>
      </c>
      <c r="H81" t="b">
        <f t="shared" ca="1" si="1"/>
        <v>0</v>
      </c>
    </row>
    <row r="82" spans="1:8" x14ac:dyDescent="0.25">
      <c r="A82" t="s">
        <v>177</v>
      </c>
      <c r="B82" t="s">
        <v>258</v>
      </c>
      <c r="C82" s="7">
        <v>4</v>
      </c>
      <c r="E82" s="7" t="b" cm="1">
        <f t="array" aca="1" ref="E82" ca="1">COUNTIF(shame_strongs_fltr, strongs_ls) = 1</f>
        <v>0</v>
      </c>
      <c r="F82" s="7" t="b">
        <f ca="1">COUNTIFS(shame_mdl!S:S, B82, shame_mdl!W:W, "&gt;=0") = 1</f>
        <v>0</v>
      </c>
      <c r="H82" t="b">
        <f t="shared" ca="1" si="1"/>
        <v>0</v>
      </c>
    </row>
    <row r="83" spans="1:8" x14ac:dyDescent="0.25">
      <c r="A83" t="s">
        <v>177</v>
      </c>
      <c r="B83" t="s">
        <v>273</v>
      </c>
      <c r="C83" s="7">
        <v>1</v>
      </c>
      <c r="E83" s="7" t="b" cm="1">
        <f t="array" aca="1" ref="E83" ca="1">COUNTIF(shame_strongs_fltr, strongs_ls) = 1</f>
        <v>0</v>
      </c>
      <c r="F83" s="7" t="b">
        <f ca="1">COUNTIFS(shame_mdl!S:S, B83, shame_mdl!W:W, "&gt;=0") = 1</f>
        <v>0</v>
      </c>
      <c r="H83" t="b">
        <f t="shared" ca="1" si="1"/>
        <v>0</v>
      </c>
    </row>
    <row r="84" spans="1:8" x14ac:dyDescent="0.25">
      <c r="A84" t="s">
        <v>177</v>
      </c>
      <c r="B84" t="s">
        <v>27</v>
      </c>
      <c r="C84" s="7">
        <v>1</v>
      </c>
      <c r="E84" s="7" t="b" cm="1">
        <f t="array" aca="1" ref="E84" ca="1">COUNTIF(shame_strongs_fltr, strongs_ls) = 1</f>
        <v>0</v>
      </c>
      <c r="F84" s="7" t="b">
        <f ca="1">COUNTIFS(shame_mdl!S:S, B84, shame_mdl!W:W, "&gt;=0") = 1</f>
        <v>1</v>
      </c>
      <c r="H84" t="b">
        <f t="shared" ca="1" si="1"/>
        <v>0</v>
      </c>
    </row>
    <row r="85" spans="1:8" x14ac:dyDescent="0.25">
      <c r="A85" t="s">
        <v>177</v>
      </c>
      <c r="B85" t="s">
        <v>247</v>
      </c>
      <c r="C85" s="7">
        <v>1</v>
      </c>
      <c r="E85" s="7" t="b" cm="1">
        <f t="array" aca="1" ref="E85" ca="1">COUNTIF(shame_strongs_fltr, strongs_ls) = 1</f>
        <v>0</v>
      </c>
      <c r="F85" s="7" t="b">
        <f ca="1">COUNTIFS(shame_mdl!S:S, B85, shame_mdl!W:W, "&gt;=0") = 1</f>
        <v>1</v>
      </c>
      <c r="H85" t="b">
        <f t="shared" ca="1" si="1"/>
        <v>0</v>
      </c>
    </row>
    <row r="86" spans="1:8" x14ac:dyDescent="0.25">
      <c r="A86" t="s">
        <v>184</v>
      </c>
      <c r="B86" t="s">
        <v>187</v>
      </c>
      <c r="C86" s="7">
        <v>1</v>
      </c>
      <c r="E86" s="7" t="b" cm="1">
        <f t="array" aca="1" ref="E86" ca="1">COUNTIF(shame_strongs_fltr, strongs_ls) = 1</f>
        <v>0</v>
      </c>
      <c r="F86" s="7" t="b">
        <f ca="1">COUNTIFS(shame_mdl!S:S, B86, shame_mdl!W:W, "&gt;=0") = 1</f>
        <v>0</v>
      </c>
      <c r="H86" t="b">
        <f t="shared" ca="1" si="1"/>
        <v>0</v>
      </c>
    </row>
    <row r="87" spans="1:8" x14ac:dyDescent="0.25">
      <c r="A87" t="s">
        <v>191</v>
      </c>
      <c r="B87" t="s">
        <v>267</v>
      </c>
      <c r="C87" s="7">
        <v>4</v>
      </c>
      <c r="E87" s="7" t="b" cm="1">
        <f t="array" aca="1" ref="E87" ca="1">COUNTIF(shame_strongs_fltr, strongs_ls) = 1</f>
        <v>0</v>
      </c>
      <c r="F87" s="7" t="b">
        <f ca="1">COUNTIFS(shame_mdl!S:S, B87, shame_mdl!W:W, "&gt;=0") = 1</f>
        <v>0</v>
      </c>
      <c r="H87" t="b">
        <f t="shared" ca="1" si="1"/>
        <v>0</v>
      </c>
    </row>
    <row r="88" spans="1:8" x14ac:dyDescent="0.25">
      <c r="A88" t="s">
        <v>191</v>
      </c>
      <c r="B88" t="s">
        <v>274</v>
      </c>
      <c r="C88" s="7">
        <v>2</v>
      </c>
      <c r="E88" s="7" t="b" cm="1">
        <f t="array" aca="1" ref="E88" ca="1">COUNTIF(shame_strongs_fltr, strongs_ls) = 1</f>
        <v>0</v>
      </c>
      <c r="F88" s="7" t="b">
        <f ca="1">COUNTIFS(shame_mdl!S:S, B88, shame_mdl!W:W, "&gt;=0") = 1</f>
        <v>0</v>
      </c>
      <c r="H88" t="b">
        <f t="shared" ca="1" si="1"/>
        <v>0</v>
      </c>
    </row>
    <row r="89" spans="1:8" x14ac:dyDescent="0.25">
      <c r="A89" t="s">
        <v>191</v>
      </c>
      <c r="B89" t="s">
        <v>151</v>
      </c>
      <c r="C89" s="7">
        <v>2</v>
      </c>
      <c r="E89" s="7" t="b" cm="1">
        <f t="array" aca="1" ref="E89" ca="1">COUNTIF(shame_strongs_fltr, strongs_ls) = 1</f>
        <v>0</v>
      </c>
      <c r="F89" s="7" t="b">
        <f ca="1">COUNTIFS(shame_mdl!S:S, B89, shame_mdl!W:W, "&gt;=0") = 1</f>
        <v>0</v>
      </c>
      <c r="H89" t="b">
        <f t="shared" ca="1" si="1"/>
        <v>0</v>
      </c>
    </row>
    <row r="90" spans="1:8" x14ac:dyDescent="0.25">
      <c r="A90" t="s">
        <v>191</v>
      </c>
      <c r="B90" t="s">
        <v>27</v>
      </c>
      <c r="C90" s="7">
        <v>1</v>
      </c>
      <c r="E90" s="7" t="b" cm="1">
        <f t="array" aca="1" ref="E90" ca="1">COUNTIF(shame_strongs_fltr, strongs_ls) = 1</f>
        <v>0</v>
      </c>
      <c r="F90" s="7" t="b">
        <f ca="1">COUNTIFS(shame_mdl!S:S, B90, shame_mdl!W:W, "&gt;=0") = 1</f>
        <v>1</v>
      </c>
      <c r="H90" t="b">
        <f t="shared" ca="1" si="1"/>
        <v>0</v>
      </c>
    </row>
    <row r="91" spans="1:8" x14ac:dyDescent="0.25">
      <c r="A91" t="s">
        <v>198</v>
      </c>
      <c r="B91" t="s">
        <v>27</v>
      </c>
      <c r="C91" s="7">
        <v>2</v>
      </c>
      <c r="E91" s="7" t="b" cm="1">
        <f t="array" aca="1" ref="E91" ca="1">COUNTIF(shame_strongs_fltr, strongs_ls) = 1</f>
        <v>0</v>
      </c>
      <c r="F91" s="7" t="b">
        <f ca="1">COUNTIFS(shame_mdl!S:S, B91, shame_mdl!W:W, "&gt;=0") = 1</f>
        <v>1</v>
      </c>
      <c r="H91" t="b">
        <f t="shared" ca="1" si="1"/>
        <v>0</v>
      </c>
    </row>
    <row r="92" spans="1:8" x14ac:dyDescent="0.25">
      <c r="A92" t="s">
        <v>204</v>
      </c>
      <c r="B92" t="s">
        <v>151</v>
      </c>
      <c r="C92" s="7">
        <v>11</v>
      </c>
      <c r="E92" s="7" t="b" cm="1">
        <f t="array" aca="1" ref="E92" ca="1">COUNTIF(shame_strongs_fltr, strongs_ls) = 1</f>
        <v>0</v>
      </c>
      <c r="F92" s="7" t="b">
        <f ca="1">COUNTIFS(shame_mdl!S:S, B92, shame_mdl!W:W, "&gt;=0") = 1</f>
        <v>0</v>
      </c>
      <c r="H92" t="b">
        <f t="shared" ca="1" si="1"/>
        <v>0</v>
      </c>
    </row>
    <row r="93" spans="1:8" x14ac:dyDescent="0.25">
      <c r="A93" t="s">
        <v>210</v>
      </c>
      <c r="B93" t="s">
        <v>237</v>
      </c>
      <c r="C93" s="7">
        <v>7</v>
      </c>
      <c r="E93" s="7" t="b" cm="1">
        <f t="array" aca="1" ref="E93" ca="1">COUNTIF(shame_strongs_fltr, strongs_ls) = 1</f>
        <v>1</v>
      </c>
      <c r="F93" s="7" t="b">
        <f ca="1">COUNTIFS(shame_mdl!S:S, B93, shame_mdl!W:W, "&gt;=0") = 1</f>
        <v>1</v>
      </c>
      <c r="H93" t="b">
        <f t="shared" ca="1" si="1"/>
        <v>1</v>
      </c>
    </row>
    <row r="94" spans="1:8" x14ac:dyDescent="0.25">
      <c r="A94" t="s">
        <v>210</v>
      </c>
      <c r="B94" t="s">
        <v>275</v>
      </c>
      <c r="C94" s="7">
        <v>3</v>
      </c>
      <c r="E94" s="7" t="b" cm="1">
        <f t="array" aca="1" ref="E94" ca="1">COUNTIF(shame_strongs_fltr, strongs_ls) = 1</f>
        <v>1</v>
      </c>
      <c r="F94" s="7" t="b">
        <f ca="1">COUNTIFS(shame_mdl!S:S, B94, shame_mdl!W:W, "&gt;=0") = 1</f>
        <v>0</v>
      </c>
      <c r="H94" t="b">
        <f t="shared" ca="1" si="1"/>
        <v>0</v>
      </c>
    </row>
    <row r="95" spans="1:8" x14ac:dyDescent="0.25">
      <c r="A95" t="s">
        <v>210</v>
      </c>
      <c r="B95" t="s">
        <v>258</v>
      </c>
      <c r="C95" s="7">
        <v>2</v>
      </c>
      <c r="E95" s="7" t="b" cm="1">
        <f t="array" aca="1" ref="E95" ca="1">COUNTIF(shame_strongs_fltr, strongs_ls) = 1</f>
        <v>1</v>
      </c>
      <c r="F95" s="7" t="b">
        <f ca="1">COUNTIFS(shame_mdl!S:S, B95, shame_mdl!W:W, "&gt;=0") = 1</f>
        <v>0</v>
      </c>
      <c r="H95" t="b">
        <f t="shared" ca="1" si="1"/>
        <v>0</v>
      </c>
    </row>
    <row r="96" spans="1:8" x14ac:dyDescent="0.25">
      <c r="A96" t="s">
        <v>210</v>
      </c>
      <c r="B96" t="s">
        <v>27</v>
      </c>
      <c r="C96" s="7">
        <v>1</v>
      </c>
      <c r="E96" s="7" t="b" cm="1">
        <f t="array" aca="1" ref="E96" ca="1">COUNTIF(shame_strongs_fltr, strongs_ls) = 1</f>
        <v>1</v>
      </c>
      <c r="F96" s="7" t="b">
        <f ca="1">COUNTIFS(shame_mdl!S:S, B96, shame_mdl!W:W, "&gt;=0") = 1</f>
        <v>1</v>
      </c>
      <c r="H96" t="b">
        <f t="shared" ca="1" si="1"/>
        <v>1</v>
      </c>
    </row>
    <row r="97" spans="1:8" x14ac:dyDescent="0.25">
      <c r="A97" t="s">
        <v>217</v>
      </c>
      <c r="B97" t="s">
        <v>276</v>
      </c>
      <c r="C97" s="7">
        <v>1</v>
      </c>
      <c r="E97" s="7" t="b" cm="1">
        <f t="array" aca="1" ref="E97" ca="1">COUNTIF(shame_strongs_fltr, strongs_ls) = 1</f>
        <v>0</v>
      </c>
      <c r="F97" s="7" t="b">
        <f ca="1">COUNTIFS(shame_mdl!S:S, B97, shame_mdl!W:W, "&gt;=0") = 1</f>
        <v>0</v>
      </c>
      <c r="H97" t="b">
        <f t="shared" ca="1" si="1"/>
        <v>0</v>
      </c>
    </row>
    <row r="98" spans="1:8" x14ac:dyDescent="0.25">
      <c r="A98" t="s">
        <v>217</v>
      </c>
      <c r="B98" t="s">
        <v>277</v>
      </c>
      <c r="C98" s="7">
        <v>1</v>
      </c>
      <c r="E98" s="7" t="b" cm="1">
        <f t="array" aca="1" ref="E98" ca="1">COUNTIF(shame_strongs_fltr, strongs_ls) = 1</f>
        <v>0</v>
      </c>
      <c r="F98" s="7" t="b">
        <f ca="1">COUNTIFS(shame_mdl!S:S, B98, shame_mdl!W:W, "&gt;=0") = 1</f>
        <v>0</v>
      </c>
      <c r="H98" t="b">
        <f t="shared" ca="1" si="1"/>
        <v>0</v>
      </c>
    </row>
    <row r="99" spans="1:8" x14ac:dyDescent="0.25">
      <c r="A99" t="s">
        <v>224</v>
      </c>
      <c r="B99" t="s">
        <v>278</v>
      </c>
      <c r="C99" s="7">
        <v>2</v>
      </c>
      <c r="E99" s="7" t="b" cm="1">
        <f t="array" aca="1" ref="E99" ca="1">COUNTIF(shame_strongs_fltr, strongs_ls) = 1</f>
        <v>0</v>
      </c>
      <c r="F99" s="7" t="b">
        <f ca="1">COUNTIFS(shame_mdl!S:S, B99, shame_mdl!W:W, "&gt;=0") = 1</f>
        <v>0</v>
      </c>
      <c r="H99" t="b">
        <f t="shared" ca="1" si="1"/>
        <v>0</v>
      </c>
    </row>
    <row r="100" spans="1:8" x14ac:dyDescent="0.25">
      <c r="A100" t="s">
        <v>224</v>
      </c>
      <c r="B100" t="s">
        <v>247</v>
      </c>
      <c r="C100" s="7">
        <v>1</v>
      </c>
      <c r="E100" s="7" t="b" cm="1">
        <f t="array" aca="1" ref="E100" ca="1">COUNTIF(shame_strongs_fltr, strongs_ls) = 1</f>
        <v>0</v>
      </c>
      <c r="F100" s="7" t="b">
        <f ca="1">COUNTIFS(shame_mdl!S:S, B100, shame_mdl!W:W, "&gt;=0") = 1</f>
        <v>1</v>
      </c>
      <c r="H100" t="b">
        <f t="shared" ca="1" si="1"/>
        <v>0</v>
      </c>
    </row>
    <row r="101" spans="1:8" x14ac:dyDescent="0.25">
      <c r="A101" t="s">
        <v>224</v>
      </c>
      <c r="B101" t="s">
        <v>279</v>
      </c>
      <c r="C101" s="7">
        <v>1</v>
      </c>
      <c r="E101" s="7" t="b" cm="1">
        <f t="array" aca="1" ref="E101" ca="1">COUNTIF(shame_strongs_fltr, strongs_ls) = 1</f>
        <v>0</v>
      </c>
      <c r="F101" s="7" t="b">
        <f ca="1">COUNTIFS(shame_mdl!S:S, B101, shame_mdl!W:W, "&gt;=0") = 1</f>
        <v>0</v>
      </c>
      <c r="H101" t="b">
        <f t="shared" ca="1" si="1"/>
        <v>0</v>
      </c>
    </row>
    <row r="102" spans="1:8" x14ac:dyDescent="0.25">
      <c r="A102" t="s">
        <v>224</v>
      </c>
      <c r="B102" t="s">
        <v>280</v>
      </c>
      <c r="C102" s="7">
        <v>1</v>
      </c>
      <c r="E102" s="7" t="b" cm="1">
        <f t="array" aca="1" ref="E102" ca="1">COUNTIF(shame_strongs_fltr, strongs_ls) = 1</f>
        <v>0</v>
      </c>
      <c r="F102" s="7" t="b">
        <f ca="1">COUNTIFS(shame_mdl!S:S, B102, shame_mdl!W:W, "&gt;=0") = 1</f>
        <v>0</v>
      </c>
      <c r="H102" t="b">
        <f t="shared" ca="1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D403F-2521-4687-BF80-47B077A1E9C1}">
  <dimension ref="A1:Y33"/>
  <sheetViews>
    <sheetView showGridLines="0" tabSelected="1" workbookViewId="0">
      <selection activeCell="X8" sqref="X8"/>
    </sheetView>
  </sheetViews>
  <sheetFormatPr defaultRowHeight="15" x14ac:dyDescent="0.25"/>
  <cols>
    <col min="1" max="1" width="0.7109375" customWidth="1"/>
    <col min="2" max="2" width="11.140625" bestFit="1" customWidth="1"/>
    <col min="7" max="7" width="9.7109375" customWidth="1"/>
    <col min="8" max="8" width="0.85546875" style="13" customWidth="1"/>
    <col min="9" max="9" width="0.85546875" style="35" customWidth="1"/>
    <col min="10" max="14" width="10.7109375" style="7" customWidth="1"/>
    <col min="15" max="15" width="1.7109375" customWidth="1"/>
    <col min="16" max="16" width="15.7109375" style="7" customWidth="1"/>
    <col min="17" max="18" width="1.7109375" customWidth="1"/>
    <col min="19" max="19" width="14.42578125" style="27" bestFit="1" customWidth="1"/>
    <col min="20" max="23" width="10.7109375" style="7" customWidth="1"/>
    <col min="24" max="24" width="1.7109375" customWidth="1"/>
    <col min="25" max="25" width="15.7109375" style="7" customWidth="1"/>
    <col min="26" max="26" width="1.7109375" customWidth="1"/>
  </cols>
  <sheetData>
    <row r="1" spans="1:25" x14ac:dyDescent="0.25">
      <c r="B1" s="7" t="s">
        <v>284</v>
      </c>
      <c r="C1" s="14" t="s">
        <v>231</v>
      </c>
      <c r="D1" s="12" t="s">
        <v>285</v>
      </c>
      <c r="J1" s="54" t="s">
        <v>231</v>
      </c>
      <c r="K1" s="54" t="s">
        <v>292</v>
      </c>
      <c r="L1" s="54" t="s">
        <v>293</v>
      </c>
      <c r="M1" s="54" t="s">
        <v>290</v>
      </c>
      <c r="N1" s="54" t="s">
        <v>291</v>
      </c>
      <c r="P1" s="55" t="s">
        <v>296</v>
      </c>
      <c r="S1" s="54" t="s">
        <v>285</v>
      </c>
      <c r="T1" s="54" t="s">
        <v>292</v>
      </c>
      <c r="U1" s="54" t="s">
        <v>293</v>
      </c>
      <c r="V1" s="54" t="s">
        <v>290</v>
      </c>
      <c r="W1" s="54" t="s">
        <v>291</v>
      </c>
      <c r="Y1" s="57" t="s">
        <v>307</v>
      </c>
    </row>
    <row r="2" spans="1:25" x14ac:dyDescent="0.25">
      <c r="B2" s="17" t="s">
        <v>282</v>
      </c>
      <c r="C2" s="15">
        <f ca="1">SUMPRODUCT(shame_strongs_n, shame_strongs_weight) / SUM(shame_strongs_weight)</f>
        <v>31.524752475247524</v>
      </c>
      <c r="D2" s="10">
        <f ca="1">SUMPRODUCT(shame_terms_n, shame_terms_weight) / SUM(shame_terms_weight)</f>
        <v>38.385964912280699</v>
      </c>
      <c r="J2" s="7" t="str" cm="1">
        <f t="array" aca="1" ref="J2:J33" ca="1">_xlfn._xlws.SORT(_xlfn.UNIQUE(shame_strongs_arr),1,-1)</f>
        <v>H955</v>
      </c>
      <c r="K2" s="7" cm="1">
        <f t="array" aca="1" ref="K2" ca="1">COUNTIF(shame_strongs_arr, shame_strongs_ls)</f>
        <v>1</v>
      </c>
      <c r="L2" s="7" cm="1">
        <f t="array" aca="1" ref="L2" ca="1">SUMIF(shame_strongs_arr, shame_strongs_ls, shame_lex_counts)</f>
        <v>4</v>
      </c>
      <c r="M2" s="7">
        <f ca="1">STANDARDIZE(strongs_n, shame_strongs_mean, shame_strongs_stdev)</f>
        <v>-0.68519193237156073</v>
      </c>
      <c r="N2" s="7">
        <f ca="1">ROUND(ABS(strongs_z), 0) * IF(strongs_z &gt; 0, 1, IF(strongs_z &lt; 0, -1, 0))</f>
        <v>-1</v>
      </c>
      <c r="P2" s="56" t="s">
        <v>297</v>
      </c>
      <c r="S2" s="27" t="str" cm="1">
        <f t="array" aca="1" ref="S2:S28" ca="1">_xlfn._xlws.SORT(_xlfn.UNIQUE(_xlfn._xlws.FILTER(shame_terms_arr, shame_strongs_fltrLgc = TRUE)))</f>
        <v>ashamed</v>
      </c>
      <c r="T2" s="7" cm="1">
        <f t="array" aca="1" ref="T2" ca="1">COUNTIFS(shame_terms_arr, shame_terms_ls, shame_strongs_fltrLgc, TRUE)</f>
        <v>6</v>
      </c>
      <c r="U2" s="7" cm="1">
        <f t="array" aca="1" ref="U2" ca="1">SUMIFS(shame_lex_counts, shame_terms_arr, shame_terms_ls, shame_strongs_fltrLgc, TRUE)</f>
        <v>103</v>
      </c>
      <c r="V2" s="7">
        <f ca="1">STANDARDIZE(terms_n, shame_terms_mean, shame_terms_stdev)</f>
        <v>1.7332892897158467</v>
      </c>
      <c r="W2" s="7">
        <f ca="1">ROUND(ABS(terms_z), 0) * IF(terms_z &gt; 0, 1, IF(terms_z &lt; 0, -1, 0))</f>
        <v>2</v>
      </c>
      <c r="Y2" s="58" t="s">
        <v>297</v>
      </c>
    </row>
    <row r="3" spans="1:25" x14ac:dyDescent="0.25">
      <c r="B3" s="18" t="s">
        <v>283</v>
      </c>
      <c r="C3" s="16" cm="1">
        <f t="array" aca="1" ref="C3" ca="1">SQRT(SUMPRODUCT((shame_strongs_n - shame_strongs_mean) ^2, shame_strongs_weight) / SUM(shame_strongs_weight - 1))</f>
        <v>40.170864796933436</v>
      </c>
      <c r="D3" s="11" cm="1">
        <f t="array" aca="1" ref="D3" ca="1">SQRT(SUMPRODUCT(( shame_terms_n - shame_terms_mean) ^2, shame_terms_weight) / SUM(shame_terms_weight, -1))</f>
        <v>37.27827516796809</v>
      </c>
      <c r="J3" s="7" t="str">
        <f ca="1"/>
        <v>H954</v>
      </c>
      <c r="K3" s="7" cm="1">
        <f t="array" aca="1" ref="K3" ca="1">COUNTIF(shame_strongs_arr, shame_strongs_ls)</f>
        <v>8</v>
      </c>
      <c r="L3" s="7" cm="1">
        <f t="array" aca="1" ref="L3" ca="1">SUMIF(shame_strongs_arr, shame_strongs_ls, shame_lex_counts)</f>
        <v>107</v>
      </c>
      <c r="M3" s="7">
        <f ca="1">STANDARDIZE(strongs_n, shame_strongs_mean, shame_strongs_stdev)</f>
        <v>1.8788554318231681</v>
      </c>
      <c r="N3" s="7">
        <f ca="1">ROUND(ABS(strongs_z), 0) * IF(strongs_z &gt; 0, 1, IF(strongs_z &lt; 0, -1, 0))</f>
        <v>2</v>
      </c>
      <c r="P3" s="7" t="str" cm="1">
        <f t="array" aca="1" ref="P3:Q12" ca="1">_xlfn._xlws.SORT(INDEX(_xlfn._xlws.FILTER(J2:N33, N2:N33 &gt;= 0), _xlfn.SEQUENCE(ROWS(_xlfn._xlws.FILTER(J2:N33, N2:N33 &gt;= 0))), {1,5}),2,-1)</f>
        <v>H954</v>
      </c>
      <c r="Q3">
        <f ca="1"/>
        <v>2</v>
      </c>
      <c r="S3" s="27" t="str">
        <f ca="1"/>
        <v>blush</v>
      </c>
      <c r="T3" s="7" cm="1">
        <f t="array" aca="1" ref="T3" ca="1">COUNTIFS(shame_terms_arr, shame_terms_ls, shame_strongs_fltrLgc, TRUE)</f>
        <v>1</v>
      </c>
      <c r="U3" s="7" cm="1">
        <f t="array" aca="1" ref="U3" ca="1">SUMIFS(shame_lex_counts, shame_terms_arr, shame_terms_ls, shame_strongs_fltrLgc, TRUE)</f>
        <v>3</v>
      </c>
      <c r="V3" s="7">
        <f ca="1">STANDARDIZE(terms_n, shame_terms_mean, shame_terms_stdev)</f>
        <v>-0.94923825613816526</v>
      </c>
      <c r="W3" s="7">
        <f ca="1">ROUND(ABS(terms_z), 0) * IF(terms_z &gt; 0, 1, IF(terms_z &lt; 0, -1, 0))</f>
        <v>-1</v>
      </c>
      <c r="Y3" s="7" t="str" cm="1">
        <f t="array" aca="1" ref="Y3:Y9" ca="1">_xlfn._xlws.FILTER(S2:S28, W2:W28 &gt;= 0)</f>
        <v>ashamed</v>
      </c>
    </row>
    <row r="4" spans="1:25" x14ac:dyDescent="0.25">
      <c r="J4" s="7" t="str">
        <f ca="1"/>
        <v>H937</v>
      </c>
      <c r="K4" s="7" cm="1">
        <f t="array" aca="1" ref="K4" ca="1">COUNTIF(shame_strongs_arr, shame_strongs_ls)</f>
        <v>4</v>
      </c>
      <c r="L4" s="7" cm="1">
        <f t="array" aca="1" ref="L4" ca="1">SUMIF(shame_strongs_arr, shame_strongs_ls, shame_lex_counts)</f>
        <v>11</v>
      </c>
      <c r="M4" s="7">
        <f ca="1">STANDARDIZE(strongs_n, shame_strongs_mean, shame_strongs_stdev)</f>
        <v>-0.51093628626123933</v>
      </c>
      <c r="N4" s="7">
        <f ca="1">ROUND(ABS(strongs_z), 0) * IF(strongs_z &gt; 0, 1, IF(strongs_z &lt; 0, -1, 0))</f>
        <v>-1</v>
      </c>
      <c r="P4" s="7" t="str">
        <f ca="1"/>
        <v>H6172</v>
      </c>
      <c r="Q4">
        <f ca="1"/>
        <v>1</v>
      </c>
      <c r="S4" s="27" t="str">
        <f ca="1"/>
        <v>clean</v>
      </c>
      <c r="T4" s="7" cm="1">
        <f t="array" aca="1" ref="T4" ca="1">COUNTIFS(shame_terms_arr, shame_terms_ls, shame_strongs_fltrLgc, TRUE)</f>
        <v>1</v>
      </c>
      <c r="U4" s="7" cm="1">
        <f t="array" aca="1" ref="U4" ca="1">SUMIFS(shame_lex_counts, shame_terms_arr, shame_terms_ls, shame_strongs_fltrLgc, TRUE)</f>
        <v>1</v>
      </c>
      <c r="V4" s="7">
        <f ca="1">STANDARDIZE(terms_n, shame_terms_mean, shame_terms_stdev)</f>
        <v>-1.0028888070552455</v>
      </c>
      <c r="W4" s="7">
        <f ca="1">ROUND(ABS(terms_z), 0) * IF(terms_z &gt; 0, 1, IF(terms_z &lt; 0, -1, 0))</f>
        <v>-1</v>
      </c>
      <c r="Y4" s="7" t="str">
        <f ca="1"/>
        <v>confounded</v>
      </c>
    </row>
    <row r="5" spans="1:25" x14ac:dyDescent="0.25">
      <c r="A5" s="39"/>
      <c r="B5" s="40" t="s">
        <v>299</v>
      </c>
      <c r="C5" s="28"/>
      <c r="D5" s="28"/>
      <c r="E5" s="28"/>
      <c r="F5" s="28"/>
      <c r="G5" s="29"/>
      <c r="J5" s="7" t="str">
        <f ca="1"/>
        <v>H8106</v>
      </c>
      <c r="K5" s="7" cm="1">
        <f t="array" aca="1" ref="K5" ca="1">COUNTIF(shame_strongs_arr, shame_strongs_ls)</f>
        <v>3</v>
      </c>
      <c r="L5" s="7" cm="1">
        <f t="array" aca="1" ref="L5" ca="1">SUMIF(shame_strongs_arr, shame_strongs_ls, shame_lex_counts)</f>
        <v>5</v>
      </c>
      <c r="M5" s="7">
        <f ca="1">STANDARDIZE(strongs_n, shame_strongs_mean, shame_strongs_stdev)</f>
        <v>-0.66029826864151475</v>
      </c>
      <c r="N5" s="7">
        <f ca="1">ROUND(ABS(strongs_z), 0) * IF(strongs_z &gt; 0, 1, IF(strongs_z &lt; 0, -1, 0))</f>
        <v>-1</v>
      </c>
      <c r="P5" s="7" t="str">
        <f ca="1"/>
        <v>H3001</v>
      </c>
      <c r="Q5">
        <f ca="1"/>
        <v>1</v>
      </c>
      <c r="S5" s="27" t="str">
        <f ca="1"/>
        <v>confound</v>
      </c>
      <c r="T5" s="7" cm="1">
        <f t="array" aca="1" ref="T5" ca="1">COUNTIFS(shame_terms_arr, shame_terms_ls, shame_strongs_fltrLgc, TRUE)</f>
        <v>1</v>
      </c>
      <c r="U5" s="7" cm="1">
        <f t="array" aca="1" ref="U5" ca="1">SUMIFS(shame_lex_counts, shame_terms_arr, shame_terms_ls, shame_strongs_fltrLgc, TRUE)</f>
        <v>3</v>
      </c>
      <c r="V5" s="7">
        <f ca="1">STANDARDIZE(terms_n, shame_terms_mean, shame_terms_stdev)</f>
        <v>-0.94923825613816526</v>
      </c>
      <c r="W5" s="7">
        <f ca="1">ROUND(ABS(terms_z), 0) * IF(terms_z &gt; 0, 1, IF(terms_z &lt; 0, -1, 0))</f>
        <v>-1</v>
      </c>
      <c r="Y5" s="7" t="str">
        <f ca="1"/>
        <v>dry up</v>
      </c>
    </row>
    <row r="6" spans="1:25" x14ac:dyDescent="0.25">
      <c r="A6" s="41"/>
      <c r="B6" s="36" t="s">
        <v>294</v>
      </c>
      <c r="C6" s="32"/>
      <c r="D6" s="32"/>
      <c r="E6" s="32"/>
      <c r="F6" s="32"/>
      <c r="G6" s="33"/>
      <c r="J6" s="7" t="str">
        <f ca="1"/>
        <v>H8103</v>
      </c>
      <c r="K6" s="7" cm="1">
        <f t="array" aca="1" ref="K6" ca="1">COUNTIF(shame_strongs_arr, shame_strongs_ls)</f>
        <v>1</v>
      </c>
      <c r="L6" s="7" cm="1">
        <f t="array" aca="1" ref="L6" ca="1">SUMIF(shame_strongs_arr, shame_strongs_ls, shame_lex_counts)</f>
        <v>1</v>
      </c>
      <c r="M6" s="7">
        <f ca="1">STANDARDIZE(strongs_n, shame_strongs_mean, shame_strongs_stdev)</f>
        <v>-0.75987292356169844</v>
      </c>
      <c r="N6" s="7">
        <f ca="1">ROUND(ABS(strongs_z), 0) * IF(strongs_z &gt; 0, 1, IF(strongs_z &lt; 0, -1, 0))</f>
        <v>-1</v>
      </c>
      <c r="P6" s="7" t="str">
        <f ca="1"/>
        <v>H2781</v>
      </c>
      <c r="Q6">
        <f ca="1"/>
        <v>1</v>
      </c>
      <c r="S6" s="27" t="str">
        <f ca="1"/>
        <v>confounded</v>
      </c>
      <c r="T6" s="7" cm="1">
        <f t="array" aca="1" ref="T6" ca="1">COUNTIFS(shame_terms_arr, shame_terms_ls, shame_strongs_fltrLgc, TRUE)</f>
        <v>4</v>
      </c>
      <c r="U6" s="7" cm="1">
        <f t="array" aca="1" ref="U6" ca="1">SUMIFS(shame_lex_counts, shame_terms_arr, shame_terms_ls, shame_strongs_fltrLgc, TRUE)</f>
        <v>47</v>
      </c>
      <c r="V6" s="7">
        <f ca="1">STANDARDIZE(terms_n, shame_terms_mean, shame_terms_stdev)</f>
        <v>0.23107386403760008</v>
      </c>
      <c r="W6" s="7">
        <f ca="1">ROUND(ABS(terms_z), 0) * IF(terms_z &gt; 0, 1, IF(terms_z &lt; 0, -1, 0))</f>
        <v>0</v>
      </c>
      <c r="Y6" s="7" t="str">
        <f ca="1"/>
        <v>nakedness</v>
      </c>
    </row>
    <row r="7" spans="1:25" x14ac:dyDescent="0.25">
      <c r="A7" s="41"/>
      <c r="B7" s="38" t="s">
        <v>300</v>
      </c>
      <c r="C7" s="32"/>
      <c r="D7" s="32"/>
      <c r="E7" s="32"/>
      <c r="F7" s="32"/>
      <c r="G7" s="33"/>
      <c r="J7" s="7" t="str">
        <f ca="1"/>
        <v>H7036</v>
      </c>
      <c r="K7" s="7" cm="1">
        <f t="array" aca="1" ref="K7" ca="1">COUNTIF(shame_strongs_arr, shame_strongs_ls)</f>
        <v>5</v>
      </c>
      <c r="L7" s="7" cm="1">
        <f t="array" aca="1" ref="L7" ca="1">SUMIF(shame_strongs_arr, shame_strongs_ls, shame_lex_counts)</f>
        <v>17</v>
      </c>
      <c r="M7" s="7">
        <f ca="1">STANDARDIZE(strongs_n, shame_strongs_mean, shame_strongs_stdev)</f>
        <v>-0.36157430388096384</v>
      </c>
      <c r="N7" s="7">
        <f ca="1">ROUND(ABS(strongs_z), 0) * IF(strongs_z &gt; 0, 1, IF(strongs_z &lt; 0, -1, 0))</f>
        <v>0</v>
      </c>
      <c r="P7" s="7" t="str">
        <f ca="1"/>
        <v>H7036</v>
      </c>
      <c r="Q7">
        <f ca="1"/>
        <v>0</v>
      </c>
      <c r="S7" s="27" t="str">
        <f ca="1"/>
        <v>confusion</v>
      </c>
      <c r="T7" s="7" cm="1">
        <f t="array" aca="1" ref="T7" ca="1">COUNTIFS(shame_terms_arr, shame_terms_ls, shame_strongs_fltrLgc, TRUE)</f>
        <v>6</v>
      </c>
      <c r="U7" s="7" cm="1">
        <f t="array" aca="1" ref="U7" ca="1">SUMIFS(shame_lex_counts, shame_terms_arr, shame_terms_ls, shame_strongs_fltrLgc, TRUE)</f>
        <v>18</v>
      </c>
      <c r="V7" s="7">
        <f ca="1">STANDARDIZE(terms_n, shame_terms_mean, shame_terms_stdev)</f>
        <v>-0.54685912426006344</v>
      </c>
      <c r="W7" s="7">
        <f ca="1">ROUND(ABS(terms_z), 0) * IF(terms_z &gt; 0, 1, IF(terms_z &lt; 0, -1, 0))</f>
        <v>-1</v>
      </c>
      <c r="Y7" s="7" t="str">
        <f ca="1"/>
        <v>reproach</v>
      </c>
    </row>
    <row r="8" spans="1:25" x14ac:dyDescent="0.25">
      <c r="A8" s="43"/>
      <c r="B8" s="42" t="s">
        <v>295</v>
      </c>
      <c r="C8" s="30"/>
      <c r="D8" s="30"/>
      <c r="E8" s="30"/>
      <c r="F8" s="30"/>
      <c r="G8" s="31"/>
      <c r="J8" s="7" t="str">
        <f ca="1"/>
        <v>H7022</v>
      </c>
      <c r="K8" s="7" cm="1">
        <f t="array" aca="1" ref="K8" ca="1">COUNTIF(shame_strongs_arr, shame_strongs_ls)</f>
        <v>1</v>
      </c>
      <c r="L8" s="7" cm="1">
        <f t="array" aca="1" ref="L8" ca="1">SUMIF(shame_strongs_arr, shame_strongs_ls, shame_lex_counts)</f>
        <v>1</v>
      </c>
      <c r="M8" s="7">
        <f ca="1">STANDARDIZE(strongs_n, shame_strongs_mean, shame_strongs_stdev)</f>
        <v>-0.75987292356169844</v>
      </c>
      <c r="N8" s="7">
        <f ca="1">ROUND(ABS(strongs_z), 0) * IF(strongs_z &gt; 0, 1, IF(strongs_z &lt; 0, -1, 0))</f>
        <v>-1</v>
      </c>
      <c r="P8" s="7" t="str">
        <f ca="1"/>
        <v>H3639</v>
      </c>
      <c r="Q8">
        <f ca="1"/>
        <v>0</v>
      </c>
      <c r="S8" s="27" t="str">
        <f ca="1"/>
        <v>delayed</v>
      </c>
      <c r="T8" s="7" cm="1">
        <f t="array" aca="1" ref="T8" ca="1">COUNTIFS(shame_terms_arr, shame_terms_ls, shame_strongs_fltrLgc, TRUE)</f>
        <v>1</v>
      </c>
      <c r="U8" s="7" cm="1">
        <f t="array" aca="1" ref="U8" ca="1">SUMIFS(shame_lex_counts, shame_terms_arr, shame_terms_ls, shame_strongs_fltrLgc, TRUE)</f>
        <v>1</v>
      </c>
      <c r="V8" s="7">
        <f ca="1">STANDARDIZE(terms_n, shame_terms_mean, shame_terms_stdev)</f>
        <v>-1.0028888070552455</v>
      </c>
      <c r="W8" s="7">
        <f ca="1">ROUND(ABS(terms_z), 0) * IF(terms_z &gt; 0, 1, IF(terms_z &lt; 0, -1, 0))</f>
        <v>-1</v>
      </c>
      <c r="Y8" s="7" t="str">
        <f ca="1"/>
        <v>shame</v>
      </c>
    </row>
    <row r="9" spans="1:25" x14ac:dyDescent="0.25">
      <c r="A9" s="44"/>
      <c r="B9" s="45" t="s">
        <v>301</v>
      </c>
      <c r="C9" s="46"/>
      <c r="D9" s="46"/>
      <c r="E9" s="46"/>
      <c r="F9" s="46"/>
      <c r="G9" s="47"/>
      <c r="J9" s="7" t="str">
        <f ca="1"/>
        <v>H6172</v>
      </c>
      <c r="K9" s="7" cm="1">
        <f t="array" aca="1" ref="K9" ca="1">COUNTIF(shame_strongs_arr, shame_strongs_ls)</f>
        <v>5</v>
      </c>
      <c r="L9" s="7" cm="1">
        <f t="array" aca="1" ref="L9" ca="1">SUMIF(shame_strongs_arr, shame_strongs_ls, shame_lex_counts)</f>
        <v>54</v>
      </c>
      <c r="M9" s="7">
        <f ca="1">STANDARDIZE(strongs_n, shame_strongs_mean, shame_strongs_stdev)</f>
        <v>0.55949125413073486</v>
      </c>
      <c r="N9" s="7">
        <f ca="1">ROUND(ABS(strongs_z), 0) * IF(strongs_z &gt; 0, 1, IF(strongs_z &lt; 0, -1, 0))</f>
        <v>1</v>
      </c>
      <c r="P9" s="7" t="str">
        <f ca="1"/>
        <v>H3637</v>
      </c>
      <c r="Q9">
        <f ca="1"/>
        <v>0</v>
      </c>
      <c r="S9" s="27" t="str">
        <f ca="1"/>
        <v>dishonour</v>
      </c>
      <c r="T9" s="7" cm="1">
        <f t="array" aca="1" ref="T9" ca="1">COUNTIFS(shame_terms_arr, shame_terms_ls, shame_strongs_fltrLgc, TRUE)</f>
        <v>3</v>
      </c>
      <c r="U9" s="7" cm="1">
        <f t="array" aca="1" ref="U9" ca="1">SUMIFS(shame_lex_counts, shame_terms_arr, shame_terms_ls, shame_strongs_fltrLgc, TRUE)</f>
        <v>6</v>
      </c>
      <c r="V9" s="7">
        <f ca="1">STANDARDIZE(terms_n, shame_terms_mean, shame_terms_stdev)</f>
        <v>-0.86876242976254492</v>
      </c>
      <c r="W9" s="7">
        <f ca="1">ROUND(ABS(terms_z), 0) * IF(terms_z &gt; 0, 1, IF(terms_z &lt; 0, -1, 0))</f>
        <v>-1</v>
      </c>
      <c r="Y9" s="7" t="str">
        <f ca="1"/>
        <v>withered</v>
      </c>
    </row>
    <row r="10" spans="1:25" x14ac:dyDescent="0.25">
      <c r="A10" s="37"/>
      <c r="B10" s="48" t="s">
        <v>303</v>
      </c>
      <c r="C10" s="13"/>
      <c r="D10" s="13"/>
      <c r="E10" s="13"/>
      <c r="F10" s="13"/>
      <c r="G10" s="49"/>
      <c r="J10" s="7" t="str">
        <f ca="1"/>
        <v>H3640</v>
      </c>
      <c r="K10" s="7" cm="1">
        <f t="array" aca="1" ref="K10" ca="1">COUNTIF(shame_strongs_arr, shame_strongs_ls)</f>
        <v>1</v>
      </c>
      <c r="L10" s="7" cm="1">
        <f t="array" aca="1" ref="L10" ca="1">SUMIF(shame_strongs_arr, shame_strongs_ls, shame_lex_counts)</f>
        <v>1</v>
      </c>
      <c r="M10" s="7">
        <f ca="1">STANDARDIZE(strongs_n, shame_strongs_mean, shame_strongs_stdev)</f>
        <v>-0.75987292356169844</v>
      </c>
      <c r="N10" s="7">
        <f ca="1">ROUND(ABS(strongs_z), 0) * IF(strongs_z &gt; 0, 1, IF(strongs_z &lt; 0, -1, 0))</f>
        <v>-1</v>
      </c>
      <c r="P10" s="7" t="str">
        <f ca="1"/>
        <v>H2659</v>
      </c>
      <c r="Q10">
        <f ca="1"/>
        <v>0</v>
      </c>
      <c r="S10" s="27" t="str">
        <f ca="1"/>
        <v>dry</v>
      </c>
      <c r="T10" s="7" cm="1">
        <f t="array" aca="1" ref="T10" ca="1">COUNTIFS(shame_terms_arr, shame_terms_ls, shame_strongs_fltrLgc, TRUE)</f>
        <v>2</v>
      </c>
      <c r="U10" s="7" cm="1">
        <f t="array" aca="1" ref="U10" ca="1">SUMIFS(shame_lex_counts, shame_terms_arr, shame_terms_ls, shame_strongs_fltrLgc, TRUE)</f>
        <v>8</v>
      </c>
      <c r="V10" s="7">
        <f ca="1">STANDARDIZE(terms_n, shame_terms_mean, shame_terms_stdev)</f>
        <v>-0.81511187884546465</v>
      </c>
      <c r="W10" s="7">
        <f ca="1">ROUND(ABS(terms_z), 0) * IF(terms_z &gt; 0, 1, IF(terms_z &lt; 0, -1, 0))</f>
        <v>-1</v>
      </c>
    </row>
    <row r="11" spans="1:25" x14ac:dyDescent="0.25">
      <c r="A11" s="37"/>
      <c r="B11" s="50" t="s">
        <v>302</v>
      </c>
      <c r="C11" s="13"/>
      <c r="D11" s="13"/>
      <c r="E11" s="13"/>
      <c r="F11" s="13"/>
      <c r="G11" s="49"/>
      <c r="J11" s="7" t="str">
        <f ca="1"/>
        <v>H3639</v>
      </c>
      <c r="K11" s="7" cm="1">
        <f t="array" aca="1" ref="K11" ca="1">COUNTIF(shame_strongs_arr, shame_strongs_ls)</f>
        <v>4</v>
      </c>
      <c r="L11" s="7" cm="1">
        <f t="array" aca="1" ref="L11" ca="1">SUMIF(shame_strongs_arr, shame_strongs_ls, shame_lex_counts)</f>
        <v>30</v>
      </c>
      <c r="M11" s="7">
        <f ca="1">STANDARDIZE(strongs_n, shame_strongs_mean, shame_strongs_stdev)</f>
        <v>-3.7956675390367026E-2</v>
      </c>
      <c r="N11" s="7">
        <f ca="1">ROUND(ABS(strongs_z), 0) * IF(strongs_z &gt; 0, 1, IF(strongs_z &lt; 0, -1, 0))</f>
        <v>0</v>
      </c>
      <c r="P11" s="7" t="str">
        <f ca="1"/>
        <v>H1322</v>
      </c>
      <c r="Q11">
        <f ca="1"/>
        <v>0</v>
      </c>
      <c r="S11" s="27" t="str">
        <f ca="1"/>
        <v>dry up</v>
      </c>
      <c r="T11" s="7" cm="1">
        <f t="array" aca="1" ref="T11" ca="1">COUNTIFS(shame_terms_arr, shame_terms_ls, shame_strongs_fltrLgc, TRUE)</f>
        <v>1</v>
      </c>
      <c r="U11" s="7" cm="1">
        <f t="array" aca="1" ref="U11" ca="1">SUMIFS(shame_lex_counts, shame_terms_arr, shame_terms_ls, shame_strongs_fltrLgc, TRUE)</f>
        <v>27</v>
      </c>
      <c r="V11" s="7">
        <f ca="1">STANDARDIZE(terms_n, shame_terms_mean, shame_terms_stdev)</f>
        <v>-0.30543164513320237</v>
      </c>
      <c r="W11" s="7">
        <f ca="1">ROUND(ABS(terms_z), 0) * IF(terms_z &gt; 0, 1, IF(terms_z &lt; 0, -1, 0))</f>
        <v>0</v>
      </c>
    </row>
    <row r="12" spans="1:25" x14ac:dyDescent="0.25">
      <c r="A12" s="51"/>
      <c r="B12" s="52" t="s">
        <v>304</v>
      </c>
      <c r="C12" s="53"/>
      <c r="D12" s="53"/>
      <c r="E12" s="53"/>
      <c r="F12" s="53"/>
      <c r="G12" s="34"/>
      <c r="J12" s="7" t="str">
        <f ca="1"/>
        <v>H3637</v>
      </c>
      <c r="K12" s="7" cm="1">
        <f t="array" aca="1" ref="K12" ca="1">COUNTIF(shame_strongs_arr, shame_strongs_ls)</f>
        <v>7</v>
      </c>
      <c r="L12" s="7" cm="1">
        <f t="array" aca="1" ref="L12" ca="1">SUMIF(shame_strongs_arr, shame_strongs_ls, shame_lex_counts)</f>
        <v>38</v>
      </c>
      <c r="M12" s="7">
        <f ca="1">STANDARDIZE(strongs_n, shame_strongs_mean, shame_strongs_stdev)</f>
        <v>0.16119263445000026</v>
      </c>
      <c r="N12" s="7">
        <f ca="1">ROUND(ABS(strongs_z), 0) * IF(strongs_z &gt; 0, 1, IF(strongs_z &lt; 0, -1, 0))</f>
        <v>0</v>
      </c>
      <c r="P12" s="7" t="str">
        <f ca="1"/>
        <v>G2617</v>
      </c>
      <c r="Q12">
        <f ca="1"/>
        <v>0</v>
      </c>
      <c r="S12" s="27" t="str">
        <f ca="1"/>
        <v>greatly</v>
      </c>
      <c r="T12" s="7" cm="1">
        <f t="array" aca="1" ref="T12" ca="1">COUNTIFS(shame_terms_arr, shame_terms_ls, shame_strongs_fltrLgc, TRUE)</f>
        <v>1</v>
      </c>
      <c r="U12" s="7" cm="1">
        <f t="array" aca="1" ref="U12" ca="1">SUMIFS(shame_lex_counts, shame_terms_arr, shame_terms_ls, shame_strongs_fltrLgc, TRUE)</f>
        <v>1</v>
      </c>
      <c r="V12" s="7">
        <f ca="1">STANDARDIZE(terms_n, shame_terms_mean, shame_terms_stdev)</f>
        <v>-1.0028888070552455</v>
      </c>
      <c r="W12" s="7">
        <f ca="1">ROUND(ABS(terms_z), 0) * IF(terms_z &gt; 0, 1, IF(terms_z &lt; 0, -1, 0))</f>
        <v>-1</v>
      </c>
    </row>
    <row r="13" spans="1:25" x14ac:dyDescent="0.25">
      <c r="B13" s="19" t="s">
        <v>281</v>
      </c>
      <c r="J13" s="7" t="str">
        <f ca="1"/>
        <v>H3001</v>
      </c>
      <c r="K13" s="7" cm="1">
        <f t="array" aca="1" ref="K13" ca="1">COUNTIF(shame_strongs_arr, shame_strongs_ls)</f>
        <v>10</v>
      </c>
      <c r="L13" s="7" cm="1">
        <f t="array" aca="1" ref="L13" ca="1">SUMIF(shame_strongs_arr, shame_strongs_ls, shame_lex_counts)</f>
        <v>78</v>
      </c>
      <c r="M13" s="7">
        <f ca="1">STANDARDIZE(strongs_n, shame_strongs_mean, shame_strongs_stdev)</f>
        <v>1.1569391836518368</v>
      </c>
      <c r="N13" s="7">
        <f ca="1">ROUND(ABS(strongs_z), 0) * IF(strongs_z &gt; 0, 1, IF(strongs_z &lt; 0, -1, 0))</f>
        <v>1</v>
      </c>
      <c r="S13" s="27" t="str">
        <f ca="1"/>
        <v>hurt</v>
      </c>
      <c r="T13" s="7" cm="1">
        <f t="array" aca="1" ref="T13" ca="1">COUNTIFS(shame_terms_arr, shame_terms_ls, shame_strongs_fltrLgc, TRUE)</f>
        <v>1</v>
      </c>
      <c r="U13" s="7" cm="1">
        <f t="array" aca="1" ref="U13" ca="1">SUMIFS(shame_lex_counts, shame_terms_arr, shame_terms_ls, shame_strongs_fltrLgc, TRUE)</f>
        <v>2</v>
      </c>
      <c r="V13" s="7">
        <f ca="1">STANDARDIZE(terms_n, shame_terms_mean, shame_terms_stdev)</f>
        <v>-0.97606353159670534</v>
      </c>
      <c r="W13" s="7">
        <f ca="1">ROUND(ABS(terms_z), 0) * IF(terms_z &gt; 0, 1, IF(terms_z &lt; 0, -1, 0))</f>
        <v>-1</v>
      </c>
    </row>
    <row r="14" spans="1:25" x14ac:dyDescent="0.25">
      <c r="B14" s="23" t="s">
        <v>287</v>
      </c>
      <c r="J14" s="7" t="str">
        <f ca="1"/>
        <v>H2781</v>
      </c>
      <c r="K14" s="7" cm="1">
        <f t="array" aca="1" ref="K14" ca="1">COUNTIF(shame_strongs_arr, shame_strongs_ls)</f>
        <v>4</v>
      </c>
      <c r="L14" s="7" cm="1">
        <f t="array" aca="1" ref="L14" ca="1">SUMIF(shame_strongs_arr, shame_strongs_ls, shame_lex_counts)</f>
        <v>73</v>
      </c>
      <c r="M14" s="7">
        <f ca="1">STANDARDIZE(strongs_n, shame_strongs_mean, shame_strongs_stdev)</f>
        <v>1.0324708650016072</v>
      </c>
      <c r="N14" s="7">
        <f ca="1">ROUND(ABS(strongs_z), 0) * IF(strongs_z &gt; 0, 1, IF(strongs_z &lt; 0, -1, 0))</f>
        <v>1</v>
      </c>
      <c r="S14" s="27" t="str">
        <f ca="1"/>
        <v>ignominy</v>
      </c>
      <c r="T14" s="7" cm="1">
        <f t="array" aca="1" ref="T14" ca="1">COUNTIFS(shame_terms_arr, shame_terms_ls, shame_strongs_fltrLgc, TRUE)</f>
        <v>1</v>
      </c>
      <c r="U14" s="7" cm="1">
        <f t="array" aca="1" ref="U14" ca="1">SUMIFS(shame_lex_counts, shame_terms_arr, shame_terms_ls, shame_strongs_fltrLgc, TRUE)</f>
        <v>1</v>
      </c>
      <c r="V14" s="7">
        <f ca="1">STANDARDIZE(terms_n, shame_terms_mean, shame_terms_stdev)</f>
        <v>-1.0028888070552455</v>
      </c>
      <c r="W14" s="7">
        <f ca="1">ROUND(ABS(terms_z), 0) * IF(terms_z &gt; 0, 1, IF(terms_z &lt; 0, -1, 0))</f>
        <v>-1</v>
      </c>
    </row>
    <row r="15" spans="1:25" x14ac:dyDescent="0.25">
      <c r="B15" s="20" t="s">
        <v>286</v>
      </c>
      <c r="J15" s="7" t="str">
        <f ca="1"/>
        <v>H2659</v>
      </c>
      <c r="K15" s="7" cm="1">
        <f t="array" aca="1" ref="K15" ca="1">COUNTIF(shame_strongs_arr, shame_strongs_ls)</f>
        <v>5</v>
      </c>
      <c r="L15" s="7" cm="1">
        <f t="array" aca="1" ref="L15" ca="1">SUMIF(shame_strongs_arr, shame_strongs_ls, shame_lex_counts)</f>
        <v>17</v>
      </c>
      <c r="M15" s="7">
        <f ca="1">STANDARDIZE(strongs_n, shame_strongs_mean, shame_strongs_stdev)</f>
        <v>-0.36157430388096384</v>
      </c>
      <c r="N15" s="7">
        <f ca="1">ROUND(ABS(strongs_z), 0) * IF(strongs_z &gt; 0, 1, IF(strongs_z &lt; 0, -1, 0))</f>
        <v>0</v>
      </c>
      <c r="S15" s="27" t="str">
        <f ca="1"/>
        <v>long</v>
      </c>
      <c r="T15" s="7" cm="1">
        <f t="array" aca="1" ref="T15" ca="1">COUNTIFS(shame_terms_arr, shame_terms_ls, shame_strongs_fltrLgc, TRUE)</f>
        <v>1</v>
      </c>
      <c r="U15" s="7" cm="1">
        <f t="array" aca="1" ref="U15" ca="1">SUMIFS(shame_lex_counts, shame_terms_arr, shame_terms_ls, shame_strongs_fltrLgc, TRUE)</f>
        <v>1</v>
      </c>
      <c r="V15" s="7">
        <f ca="1">STANDARDIZE(terms_n, shame_terms_mean, shame_terms_stdev)</f>
        <v>-1.0028888070552455</v>
      </c>
      <c r="W15" s="7">
        <f ca="1">ROUND(ABS(terms_z), 0) * IF(terms_z &gt; 0, 1, IF(terms_z &lt; 0, -1, 0))</f>
        <v>-1</v>
      </c>
    </row>
    <row r="16" spans="1:25" x14ac:dyDescent="0.25">
      <c r="B16" s="24" t="s">
        <v>288</v>
      </c>
      <c r="J16" s="7" t="str">
        <f ca="1"/>
        <v>H2616</v>
      </c>
      <c r="K16" s="7" cm="1">
        <f t="array" aca="1" ref="K16" ca="1">COUNTIF(shame_strongs_arr, shame_strongs_ls)</f>
        <v>2</v>
      </c>
      <c r="L16" s="7" cm="1">
        <f t="array" aca="1" ref="L16" ca="1">SUMIF(shame_strongs_arr, shame_strongs_ls, shame_lex_counts)</f>
        <v>3</v>
      </c>
      <c r="M16" s="7">
        <f ca="1">STANDARDIZE(strongs_n, shame_strongs_mean, shame_strongs_stdev)</f>
        <v>-0.7100855961016066</v>
      </c>
      <c r="N16" s="7">
        <f ca="1">ROUND(ABS(strongs_z), 0) * IF(strongs_z &gt; 0, 1, IF(strongs_z &lt; 0, -1, 0))</f>
        <v>-1</v>
      </c>
      <c r="S16" s="27" t="str">
        <f ca="1"/>
        <v>nakedness</v>
      </c>
      <c r="T16" s="7" cm="1">
        <f t="array" aca="1" ref="T16" ca="1">COUNTIFS(shame_terms_arr, shame_terms_ls, shame_strongs_fltrLgc, TRUE)</f>
        <v>2</v>
      </c>
      <c r="U16" s="7" cm="1">
        <f t="array" aca="1" ref="U16" ca="1">SUMIFS(shame_lex_counts, shame_terms_arr, shame_terms_ls, shame_strongs_fltrLgc, TRUE)</f>
        <v>51</v>
      </c>
      <c r="V16" s="7">
        <f ca="1">STANDARDIZE(terms_n, shame_terms_mean, shame_terms_stdev)</f>
        <v>0.33837496587176058</v>
      </c>
      <c r="W16" s="7">
        <f ca="1">ROUND(ABS(terms_z), 0) * IF(terms_z &gt; 0, 1, IF(terms_z &lt; 0, -1, 0))</f>
        <v>0</v>
      </c>
    </row>
    <row r="17" spans="2:23" x14ac:dyDescent="0.25">
      <c r="B17" s="22" t="s">
        <v>290</v>
      </c>
      <c r="J17" s="7" t="str">
        <f ca="1"/>
        <v>H1322</v>
      </c>
      <c r="K17" s="7" cm="1">
        <f t="array" aca="1" ref="K17" ca="1">COUNTIF(shame_strongs_arr, shame_strongs_ls)</f>
        <v>5</v>
      </c>
      <c r="L17" s="7" cm="1">
        <f t="array" aca="1" ref="L17" ca="1">SUMIF(shame_strongs_arr, shame_strongs_ls, shame_lex_counts)</f>
        <v>30</v>
      </c>
      <c r="M17" s="7">
        <f ca="1">STANDARDIZE(strongs_n, shame_strongs_mean, shame_strongs_stdev)</f>
        <v>-3.7956675390367026E-2</v>
      </c>
      <c r="N17" s="7">
        <f ca="1">ROUND(ABS(strongs_z), 0) * IF(strongs_z &gt; 0, 1, IF(strongs_z &lt; 0, -1, 0))</f>
        <v>0</v>
      </c>
      <c r="S17" s="27" t="str">
        <f ca="1"/>
        <v>rebuke</v>
      </c>
      <c r="T17" s="7" cm="1">
        <f t="array" aca="1" ref="T17" ca="1">COUNTIFS(shame_terms_arr, shame_terms_ls, shame_strongs_fltrLgc, TRUE)</f>
        <v>1</v>
      </c>
      <c r="U17" s="7" cm="1">
        <f t="array" aca="1" ref="U17" ca="1">SUMIFS(shame_lex_counts, shame_terms_arr, shame_terms_ls, shame_strongs_fltrLgc, TRUE)</f>
        <v>2</v>
      </c>
      <c r="V17" s="7">
        <f ca="1">STANDARDIZE(terms_n, shame_terms_mean, shame_terms_stdev)</f>
        <v>-0.97606353159670534</v>
      </c>
      <c r="W17" s="7">
        <f ca="1">ROUND(ABS(terms_z), 0) * IF(terms_z &gt; 0, 1, IF(terms_z &lt; 0, -1, 0))</f>
        <v>-1</v>
      </c>
    </row>
    <row r="18" spans="2:23" x14ac:dyDescent="0.25">
      <c r="B18" s="25" t="s">
        <v>289</v>
      </c>
      <c r="J18" s="7" t="str">
        <f ca="1"/>
        <v>H1317</v>
      </c>
      <c r="K18" s="7" cm="1">
        <f t="array" aca="1" ref="K18" ca="1">COUNTIF(shame_strongs_arr, shame_strongs_ls)</f>
        <v>1</v>
      </c>
      <c r="L18" s="7" cm="1">
        <f t="array" aca="1" ref="L18" ca="1">SUMIF(shame_strongs_arr, shame_strongs_ls, shame_lex_counts)</f>
        <v>1</v>
      </c>
      <c r="M18" s="7">
        <f ca="1">STANDARDIZE(strongs_n, shame_strongs_mean, shame_strongs_stdev)</f>
        <v>-0.75987292356169844</v>
      </c>
      <c r="N18" s="7">
        <f ca="1">ROUND(ABS(strongs_z), 0) * IF(strongs_z &gt; 0, 1, IF(strongs_z &lt; 0, -1, 0))</f>
        <v>-1</v>
      </c>
      <c r="S18" s="27" t="str">
        <f ca="1"/>
        <v>reproach</v>
      </c>
      <c r="T18" s="7" cm="1">
        <f t="array" aca="1" ref="T18" ca="1">COUNTIFS(shame_terms_arr, shame_terms_ls, shame_strongs_fltrLgc, TRUE)</f>
        <v>5</v>
      </c>
      <c r="U18" s="7" cm="1">
        <f t="array" aca="1" ref="U18" ca="1">SUMIFS(shame_lex_counts, shame_terms_arr, shame_terms_ls, shame_strongs_fltrLgc, TRUE)</f>
        <v>72</v>
      </c>
      <c r="V18" s="7">
        <f ca="1">STANDARDIZE(terms_n, shame_terms_mean, shame_terms_stdev)</f>
        <v>0.90170575050110313</v>
      </c>
      <c r="W18" s="7">
        <f ca="1">ROUND(ABS(terms_z), 0) * IF(terms_z &gt; 0, 1, IF(terms_z &lt; 0, -1, 0))</f>
        <v>1</v>
      </c>
    </row>
    <row r="19" spans="2:23" x14ac:dyDescent="0.25">
      <c r="B19" s="21" t="s">
        <v>291</v>
      </c>
      <c r="J19" s="7" t="str">
        <f ca="1"/>
        <v>G821</v>
      </c>
      <c r="K19" s="7" cm="1">
        <f t="array" aca="1" ref="K19" ca="1">COUNTIF(shame_strongs_arr, shame_strongs_ls)</f>
        <v>1</v>
      </c>
      <c r="L19" s="7" cm="1">
        <f t="array" aca="1" ref="L19" ca="1">SUMIF(shame_strongs_arr, shame_strongs_ls, shame_lex_counts)</f>
        <v>1</v>
      </c>
      <c r="M19" s="7">
        <f ca="1">STANDARDIZE(strongs_n, shame_strongs_mean, shame_strongs_stdev)</f>
        <v>-0.75987292356169844</v>
      </c>
      <c r="N19" s="7">
        <f ca="1">ROUND(ABS(strongs_z), 0) * IF(strongs_z &gt; 0, 1, IF(strongs_z &lt; 0, -1, 0))</f>
        <v>-1</v>
      </c>
      <c r="S19" s="27" t="str">
        <f ca="1"/>
        <v>reproachfully</v>
      </c>
      <c r="T19" s="7" cm="1">
        <f t="array" aca="1" ref="T19" ca="1">COUNTIFS(shame_terms_arr, shame_terms_ls, shame_strongs_fltrLgc, TRUE)</f>
        <v>1</v>
      </c>
      <c r="U19" s="7" cm="1">
        <f t="array" aca="1" ref="U19" ca="1">SUMIFS(shame_lex_counts, shame_terms_arr, shame_terms_ls, shame_strongs_fltrLgc, TRUE)</f>
        <v>1</v>
      </c>
      <c r="V19" s="7">
        <f ca="1">STANDARDIZE(terms_n, shame_terms_mean, shame_terms_stdev)</f>
        <v>-1.0028888070552455</v>
      </c>
      <c r="W19" s="7">
        <f ca="1">ROUND(ABS(terms_z), 0) * IF(terms_z &gt; 0, 1, IF(terms_z &lt; 0, -1, 0))</f>
        <v>-1</v>
      </c>
    </row>
    <row r="20" spans="2:23" x14ac:dyDescent="0.25">
      <c r="B20" s="26" t="s">
        <v>305</v>
      </c>
      <c r="J20" s="7" t="str">
        <f ca="1"/>
        <v>G819</v>
      </c>
      <c r="K20" s="7" cm="1">
        <f t="array" aca="1" ref="K20" ca="1">COUNTIF(shame_strongs_arr, shame_strongs_ls)</f>
        <v>4</v>
      </c>
      <c r="L20" s="7" cm="1">
        <f t="array" aca="1" ref="L20" ca="1">SUMIF(shame_strongs_arr, shame_strongs_ls, shame_lex_counts)</f>
        <v>7</v>
      </c>
      <c r="M20" s="7">
        <f ca="1">STANDARDIZE(strongs_n, shame_strongs_mean, shame_strongs_stdev)</f>
        <v>-0.61051094118142302</v>
      </c>
      <c r="N20" s="7">
        <f ca="1">ROUND(ABS(strongs_z), 0) * IF(strongs_z &gt; 0, 1, IF(strongs_z &lt; 0, -1, 0))</f>
        <v>-1</v>
      </c>
      <c r="S20" s="27" t="str">
        <f ca="1"/>
        <v>shame</v>
      </c>
      <c r="T20" s="7" cm="1">
        <f t="array" aca="1" ref="T20" ca="1">COUNTIFS(shame_terms_arr, shame_terms_ls, shame_strongs_fltrLgc, TRUE)</f>
        <v>9</v>
      </c>
      <c r="U20" s="7" cm="1">
        <f t="array" aca="1" ref="U20" ca="1">SUMIFS(shame_lex_counts, shame_terms_arr, shame_terms_ls, shame_strongs_fltrLgc, TRUE)</f>
        <v>78</v>
      </c>
      <c r="V20" s="7">
        <f ca="1">STANDARDIZE(terms_n, shame_terms_mean, shame_terms_stdev)</f>
        <v>1.0626574032523439</v>
      </c>
      <c r="W20" s="7">
        <f ca="1">ROUND(ABS(terms_z), 0) * IF(terms_z &gt; 0, 1, IF(terms_z &lt; 0, -1, 0))</f>
        <v>1</v>
      </c>
    </row>
    <row r="21" spans="2:23" x14ac:dyDescent="0.25">
      <c r="J21" s="7" t="str">
        <f ca="1"/>
        <v>G818</v>
      </c>
      <c r="K21" s="7" cm="1">
        <f t="array" aca="1" ref="K21" ca="1">COUNTIF(shame_strongs_arr, shame_strongs_ls)</f>
        <v>4</v>
      </c>
      <c r="L21" s="7" cm="1">
        <f t="array" aca="1" ref="L21" ca="1">SUMIF(shame_strongs_arr, shame_strongs_ls, shame_lex_counts)</f>
        <v>6</v>
      </c>
      <c r="M21" s="7">
        <f ca="1">STANDARDIZE(strongs_n, shame_strongs_mean, shame_strongs_stdev)</f>
        <v>-0.63540460491146888</v>
      </c>
      <c r="N21" s="7">
        <f ca="1">ROUND(ABS(strongs_z), 0) * IF(strongs_z &gt; 0, 1, IF(strongs_z &lt; 0, -1, 0))</f>
        <v>-1</v>
      </c>
      <c r="S21" s="27" t="str">
        <f ca="1"/>
        <v>shamed</v>
      </c>
      <c r="T21" s="7" cm="1">
        <f t="array" aca="1" ref="T21" ca="1">COUNTIFS(shame_terms_arr, shame_terms_ls, shame_strongs_fltrLgc, TRUE)</f>
        <v>2</v>
      </c>
      <c r="U21" s="7" cm="1">
        <f t="array" aca="1" ref="U21" ca="1">SUMIFS(shame_lex_counts, shame_terms_arr, shame_terms_ls, shame_strongs_fltrLgc, TRUE)</f>
        <v>2</v>
      </c>
      <c r="V21" s="7">
        <f ca="1">STANDARDIZE(terms_n, shame_terms_mean, shame_terms_stdev)</f>
        <v>-0.97606353159670534</v>
      </c>
      <c r="W21" s="7">
        <f ca="1">ROUND(ABS(terms_z), 0) * IF(terms_z &gt; 0, 1, IF(terms_z &lt; 0, -1, 0))</f>
        <v>-1</v>
      </c>
    </row>
    <row r="22" spans="2:23" x14ac:dyDescent="0.25">
      <c r="J22" s="7" t="str">
        <f ca="1"/>
        <v>G808</v>
      </c>
      <c r="K22" s="7" cm="1">
        <f t="array" aca="1" ref="K22" ca="1">COUNTIF(shame_strongs_arr, shame_strongs_ls)</f>
        <v>2</v>
      </c>
      <c r="L22" s="7" cm="1">
        <f t="array" aca="1" ref="L22" ca="1">SUMIF(shame_strongs_arr, shame_strongs_ls, shame_lex_counts)</f>
        <v>2</v>
      </c>
      <c r="M22" s="7">
        <f ca="1">STANDARDIZE(strongs_n, shame_strongs_mean, shame_strongs_stdev)</f>
        <v>-0.73497925983165258</v>
      </c>
      <c r="N22" s="7">
        <f ca="1">ROUND(ABS(strongs_z), 0) * IF(strongs_z &gt; 0, 1, IF(strongs_z &lt; 0, -1, 0))</f>
        <v>-1</v>
      </c>
      <c r="S22" s="27" t="str">
        <f ca="1"/>
        <v>shameful thing</v>
      </c>
      <c r="T22" s="7" cm="1">
        <f t="array" aca="1" ref="T22" ca="1">COUNTIFS(shame_terms_arr, shame_terms_ls, shame_strongs_fltrLgc, TRUE)</f>
        <v>1</v>
      </c>
      <c r="U22" s="7" cm="1">
        <f t="array" aca="1" ref="U22" ca="1">SUMIFS(shame_lex_counts, shame_terms_arr, shame_terms_ls, shame_strongs_fltrLgc, TRUE)</f>
        <v>1</v>
      </c>
      <c r="V22" s="7">
        <f ca="1">STANDARDIZE(terms_n, shame_terms_mean, shame_terms_stdev)</f>
        <v>-1.0028888070552455</v>
      </c>
      <c r="W22" s="7">
        <f ca="1">ROUND(ABS(terms_z), 0) * IF(terms_z &gt; 0, 1, IF(terms_z &lt; 0, -1, 0))</f>
        <v>-1</v>
      </c>
    </row>
    <row r="23" spans="2:23" x14ac:dyDescent="0.25">
      <c r="J23" s="7" t="str">
        <f ca="1"/>
        <v>G5195</v>
      </c>
      <c r="K23" s="7" cm="1">
        <f t="array" aca="1" ref="K23" ca="1">COUNTIF(shame_strongs_arr, shame_strongs_ls)</f>
        <v>4</v>
      </c>
      <c r="L23" s="7" cm="1">
        <f t="array" aca="1" ref="L23" ca="1">SUMIF(shame_strongs_arr, shame_strongs_ls, shame_lex_counts)</f>
        <v>5</v>
      </c>
      <c r="M23" s="7">
        <f ca="1">STANDARDIZE(strongs_n, shame_strongs_mean, shame_strongs_stdev)</f>
        <v>-0.66029826864151475</v>
      </c>
      <c r="N23" s="7">
        <f ca="1">ROUND(ABS(strongs_z), 0) * IF(strongs_z &gt; 0, 1, IF(strongs_z &lt; 0, -1, 0))</f>
        <v>-1</v>
      </c>
      <c r="S23" s="27" t="str">
        <f ca="1"/>
        <v>shamefully</v>
      </c>
      <c r="T23" s="7" cm="1">
        <f t="array" aca="1" ref="T23" ca="1">COUNTIFS(shame_terms_arr, shame_terms_ls, shame_strongs_fltrLgc, TRUE)</f>
        <v>1</v>
      </c>
      <c r="U23" s="7" cm="1">
        <f t="array" aca="1" ref="U23" ca="1">SUMIFS(shame_lex_counts, shame_terms_arr, shame_terms_ls, shame_strongs_fltrLgc, TRUE)</f>
        <v>1</v>
      </c>
      <c r="V23" s="7">
        <f ca="1">STANDARDIZE(terms_n, shame_terms_mean, shame_terms_stdev)</f>
        <v>-1.0028888070552455</v>
      </c>
      <c r="W23" s="7">
        <f ca="1">ROUND(ABS(terms_z), 0) * IF(terms_z &gt; 0, 1, IF(terms_z &lt; 0, -1, 0))</f>
        <v>-1</v>
      </c>
    </row>
    <row r="24" spans="2:23" x14ac:dyDescent="0.25">
      <c r="J24" s="7" t="str">
        <f ca="1"/>
        <v>G422</v>
      </c>
      <c r="K24" s="7" cm="1">
        <f t="array" aca="1" ref="K24" ca="1">COUNTIF(shame_strongs_arr, shame_strongs_ls)</f>
        <v>1</v>
      </c>
      <c r="L24" s="7" cm="1">
        <f t="array" aca="1" ref="L24" ca="1">SUMIF(shame_strongs_arr, shame_strongs_ls, shame_lex_counts)</f>
        <v>1</v>
      </c>
      <c r="M24" s="7">
        <f ca="1">STANDARDIZE(strongs_n, shame_strongs_mean, shame_strongs_stdev)</f>
        <v>-0.75987292356169844</v>
      </c>
      <c r="N24" s="7">
        <f ca="1">ROUND(ABS(strongs_z), 0) * IF(strongs_z &gt; 0, 1, IF(strongs_z &lt; 0, -1, 0))</f>
        <v>-1</v>
      </c>
      <c r="S24" s="27" t="str">
        <f ca="1"/>
        <v>unclean</v>
      </c>
      <c r="T24" s="7" cm="1">
        <f t="array" aca="1" ref="T24" ca="1">COUNTIFS(shame_terms_arr, shame_terms_ls, shame_strongs_fltrLgc, TRUE)</f>
        <v>1</v>
      </c>
      <c r="U24" s="7" cm="1">
        <f t="array" aca="1" ref="U24" ca="1">SUMIFS(shame_lex_counts, shame_terms_arr, shame_terms_ls, shame_strongs_fltrLgc, TRUE)</f>
        <v>1</v>
      </c>
      <c r="V24" s="7">
        <f ca="1">STANDARDIZE(terms_n, shame_terms_mean, shame_terms_stdev)</f>
        <v>-1.0028888070552455</v>
      </c>
      <c r="W24" s="7">
        <f ca="1">ROUND(ABS(terms_z), 0) * IF(terms_z &gt; 0, 1, IF(terms_z &lt; 0, -1, 0))</f>
        <v>-1</v>
      </c>
    </row>
    <row r="25" spans="2:23" x14ac:dyDescent="0.25">
      <c r="J25" s="7" t="str">
        <f ca="1"/>
        <v>G3856</v>
      </c>
      <c r="K25" s="7" cm="1">
        <f t="array" aca="1" ref="K25" ca="1">COUNTIF(shame_strongs_arr, shame_strongs_ls)</f>
        <v>2</v>
      </c>
      <c r="L25" s="7" cm="1">
        <f t="array" aca="1" ref="L25" ca="1">SUMIF(shame_strongs_arr, shame_strongs_ls, shame_lex_counts)</f>
        <v>2</v>
      </c>
      <c r="M25" s="7">
        <f ca="1">STANDARDIZE(strongs_n, shame_strongs_mean, shame_strongs_stdev)</f>
        <v>-0.73497925983165258</v>
      </c>
      <c r="N25" s="7">
        <f ca="1">ROUND(ABS(strongs_z), 0) * IF(strongs_z &gt; 0, 1, IF(strongs_z &lt; 0, -1, 0))</f>
        <v>-1</v>
      </c>
      <c r="S25" s="27" t="str">
        <f ca="1"/>
        <v>uncleanness</v>
      </c>
      <c r="T25" s="7" cm="1">
        <f t="array" aca="1" ref="T25" ca="1">COUNTIFS(shame_terms_arr, shame_terms_ls, shame_strongs_fltrLgc, TRUE)</f>
        <v>1</v>
      </c>
      <c r="U25" s="7" cm="1">
        <f t="array" aca="1" ref="U25" ca="1">SUMIFS(shame_lex_counts, shame_terms_arr, shame_terms_ls, shame_strongs_fltrLgc, TRUE)</f>
        <v>1</v>
      </c>
      <c r="V25" s="7">
        <f ca="1">STANDARDIZE(terms_n, shame_terms_mean, shame_terms_stdev)</f>
        <v>-1.0028888070552455</v>
      </c>
      <c r="W25" s="7">
        <f ca="1">ROUND(ABS(terms_z), 0) * IF(terms_z &gt; 0, 1, IF(terms_z &lt; 0, -1, 0))</f>
        <v>-1</v>
      </c>
    </row>
    <row r="26" spans="2:23" x14ac:dyDescent="0.25">
      <c r="J26" s="7" t="str">
        <f ca="1"/>
        <v>G2617</v>
      </c>
      <c r="K26" s="7" cm="1">
        <f t="array" aca="1" ref="K26" ca="1">COUNTIF(shame_strongs_arr, shame_strongs_ls)</f>
        <v>4</v>
      </c>
      <c r="L26" s="7" cm="1">
        <f t="array" aca="1" ref="L26" ca="1">SUMIF(shame_strongs_arr, shame_strongs_ls, shame_lex_counts)</f>
        <v>13</v>
      </c>
      <c r="M26" s="7">
        <f ca="1">STANDARDIZE(strongs_n, shame_strongs_mean, shame_strongs_stdev)</f>
        <v>-0.46114895880114753</v>
      </c>
      <c r="N26" s="7">
        <f ca="1">ROUND(ABS(strongs_z), 0) * IF(strongs_z &gt; 0, 1, IF(strongs_z &lt; 0, -1, 0))</f>
        <v>0</v>
      </c>
      <c r="S26" s="27" t="str">
        <f ca="1"/>
        <v>utterly</v>
      </c>
      <c r="T26" s="7" cm="1">
        <f t="array" aca="1" ref="T26" ca="1">COUNTIFS(shame_terms_arr, shame_terms_ls, shame_strongs_fltrLgc, TRUE)</f>
        <v>1</v>
      </c>
      <c r="U26" s="7" cm="1">
        <f t="array" aca="1" ref="U26" ca="1">SUMIFS(shame_lex_counts, shame_terms_arr, shame_terms_ls, shame_strongs_fltrLgc, TRUE)</f>
        <v>1</v>
      </c>
      <c r="V26" s="7">
        <f ca="1">STANDARDIZE(terms_n, shame_terms_mean, shame_terms_stdev)</f>
        <v>-1.0028888070552455</v>
      </c>
      <c r="W26" s="7">
        <f ca="1">ROUND(ABS(terms_z), 0) * IF(terms_z &gt; 0, 1, IF(terms_z &lt; 0, -1, 0))</f>
        <v>-1</v>
      </c>
    </row>
    <row r="27" spans="2:23" x14ac:dyDescent="0.25">
      <c r="J27" s="7" t="str">
        <f ca="1"/>
        <v>G1870</v>
      </c>
      <c r="K27" s="7" cm="1">
        <f t="array" aca="1" ref="K27" ca="1">COUNTIF(shame_strongs_arr, shame_strongs_ls)</f>
        <v>1</v>
      </c>
      <c r="L27" s="7" cm="1">
        <f t="array" aca="1" ref="L27" ca="1">SUMIF(shame_strongs_arr, shame_strongs_ls, shame_lex_counts)</f>
        <v>11</v>
      </c>
      <c r="M27" s="7">
        <f ca="1">STANDARDIZE(strongs_n, shame_strongs_mean, shame_strongs_stdev)</f>
        <v>-0.51093628626123933</v>
      </c>
      <c r="N27" s="7">
        <f ca="1">ROUND(ABS(strongs_z), 0) * IF(strongs_z &gt; 0, 1, IF(strongs_z &lt; 0, -1, 0))</f>
        <v>-1</v>
      </c>
      <c r="S27" s="27" t="str">
        <f ca="1"/>
        <v>wither away</v>
      </c>
      <c r="T27" s="7" cm="1">
        <f t="array" aca="1" ref="T27" ca="1">COUNTIFS(shame_terms_arr, shame_terms_ls, shame_strongs_fltrLgc, TRUE)</f>
        <v>1</v>
      </c>
      <c r="U27" s="7" cm="1">
        <f t="array" aca="1" ref="U27" ca="1">SUMIFS(shame_lex_counts, shame_terms_arr, shame_terms_ls, shame_strongs_fltrLgc, TRUE)</f>
        <v>2</v>
      </c>
      <c r="V27" s="7">
        <f ca="1">STANDARDIZE(terms_n, shame_terms_mean, shame_terms_stdev)</f>
        <v>-0.97606353159670534</v>
      </c>
      <c r="W27" s="7">
        <f ca="1">ROUND(ABS(terms_z), 0) * IF(terms_z &gt; 0, 1, IF(terms_z &lt; 0, -1, 0))</f>
        <v>-1</v>
      </c>
    </row>
    <row r="28" spans="2:23" x14ac:dyDescent="0.25">
      <c r="J28" s="7" t="str">
        <f ca="1"/>
        <v>G1791</v>
      </c>
      <c r="K28" s="7" cm="1">
        <f t="array" aca="1" ref="K28" ca="1">COUNTIF(shame_strongs_arr, shame_strongs_ls)</f>
        <v>1</v>
      </c>
      <c r="L28" s="7" cm="1">
        <f t="array" aca="1" ref="L28" ca="1">SUMIF(shame_strongs_arr, shame_strongs_ls, shame_lex_counts)</f>
        <v>2</v>
      </c>
      <c r="M28" s="7">
        <f ca="1">STANDARDIZE(strongs_n, shame_strongs_mean, shame_strongs_stdev)</f>
        <v>-0.73497925983165258</v>
      </c>
      <c r="N28" s="7">
        <f ca="1">ROUND(ABS(strongs_z), 0) * IF(strongs_z &gt; 0, 1, IF(strongs_z &lt; 0, -1, 0))</f>
        <v>-1</v>
      </c>
      <c r="S28" s="27" t="str">
        <f ca="1"/>
        <v>withered</v>
      </c>
      <c r="T28" s="7" cm="1">
        <f t="array" aca="1" ref="T28" ca="1">COUNTIFS(shame_terms_arr, shame_terms_ls, shame_strongs_fltrLgc, TRUE)</f>
        <v>1</v>
      </c>
      <c r="U28" s="7" cm="1">
        <f t="array" aca="1" ref="U28" ca="1">SUMIFS(shame_lex_counts, shame_terms_arr, shame_terms_ls, shame_strongs_fltrLgc, TRUE)</f>
        <v>22</v>
      </c>
      <c r="V28" s="7">
        <f ca="1">STANDARDIZE(terms_n, shame_terms_mean, shame_terms_stdev)</f>
        <v>-0.43955802242590292</v>
      </c>
      <c r="W28" s="7">
        <f ca="1">ROUND(ABS(terms_z), 0) * IF(terms_z &gt; 0, 1, IF(terms_z &lt; 0, -1, 0))</f>
        <v>0</v>
      </c>
    </row>
    <row r="29" spans="2:23" x14ac:dyDescent="0.25">
      <c r="J29" s="7" t="str">
        <f ca="1"/>
        <v>G1788</v>
      </c>
      <c r="K29" s="7" cm="1">
        <f t="array" aca="1" ref="K29" ca="1">COUNTIF(shame_strongs_arr, shame_strongs_ls)</f>
        <v>4</v>
      </c>
      <c r="L29" s="7" cm="1">
        <f t="array" aca="1" ref="L29" ca="1">SUMIF(shame_strongs_arr, shame_strongs_ls, shame_lex_counts)</f>
        <v>9</v>
      </c>
      <c r="M29" s="7">
        <f ca="1">STANDARDIZE(strongs_n, shame_strongs_mean, shame_strongs_stdev)</f>
        <v>-0.56072361372133117</v>
      </c>
      <c r="N29" s="7">
        <f ca="1">ROUND(ABS(strongs_z), 0) * IF(strongs_z &gt; 0, 1, IF(strongs_z &lt; 0, -1, 0))</f>
        <v>-1</v>
      </c>
    </row>
    <row r="30" spans="2:23" x14ac:dyDescent="0.25">
      <c r="J30" s="7" t="str">
        <f ca="1"/>
        <v>G153</v>
      </c>
      <c r="K30" s="7" cm="1">
        <f t="array" aca="1" ref="K30" ca="1">COUNTIF(shame_strongs_arr, shame_strongs_ls)</f>
        <v>1</v>
      </c>
      <c r="L30" s="7" cm="1">
        <f t="array" aca="1" ref="L30" ca="1">SUMIF(shame_strongs_arr, shame_strongs_ls, shame_lex_counts)</f>
        <v>5</v>
      </c>
      <c r="M30" s="7">
        <f ca="1">STANDARDIZE(strongs_n, shame_strongs_mean, shame_strongs_stdev)</f>
        <v>-0.66029826864151475</v>
      </c>
      <c r="N30" s="7">
        <f ca="1">ROUND(ABS(strongs_z), 0) * IF(strongs_z &gt; 0, 1, IF(strongs_z &lt; 0, -1, 0))</f>
        <v>-1</v>
      </c>
    </row>
    <row r="31" spans="2:23" x14ac:dyDescent="0.25">
      <c r="J31" s="7" t="str">
        <f ca="1"/>
        <v>G152</v>
      </c>
      <c r="K31" s="7" cm="1">
        <f t="array" aca="1" ref="K31" ca="1">COUNTIF(shame_strongs_arr, shame_strongs_ls)</f>
        <v>2</v>
      </c>
      <c r="L31" s="7" cm="1">
        <f t="array" aca="1" ref="L31" ca="1">SUMIF(shame_strongs_arr, shame_strongs_ls, shame_lex_counts)</f>
        <v>6</v>
      </c>
      <c r="M31" s="7">
        <f ca="1">STANDARDIZE(strongs_n, shame_strongs_mean, shame_strongs_stdev)</f>
        <v>-0.63540460491146888</v>
      </c>
      <c r="N31" s="7">
        <f ca="1">ROUND(ABS(strongs_z), 0) * IF(strongs_z &gt; 0, 1, IF(strongs_z &lt; 0, -1, 0))</f>
        <v>-1</v>
      </c>
    </row>
    <row r="32" spans="2:23" x14ac:dyDescent="0.25">
      <c r="J32" s="7" t="str">
        <f ca="1"/>
        <v>G149</v>
      </c>
      <c r="K32" s="7" cm="1">
        <f t="array" aca="1" ref="K32" ca="1">COUNTIF(shame_strongs_arr, shame_strongs_ls)</f>
        <v>1</v>
      </c>
      <c r="L32" s="7" cm="1">
        <f t="array" aca="1" ref="L32" ca="1">SUMIF(shame_strongs_arr, shame_strongs_ls, shame_lex_counts)</f>
        <v>3</v>
      </c>
      <c r="M32" s="7">
        <f ca="1">STANDARDIZE(strongs_n, shame_strongs_mean, shame_strongs_stdev)</f>
        <v>-0.7100855961016066</v>
      </c>
      <c r="N32" s="7">
        <f ca="1">ROUND(ABS(strongs_z), 0) * IF(strongs_z &gt; 0, 1, IF(strongs_z &lt; 0, -1, 0))</f>
        <v>-1</v>
      </c>
    </row>
    <row r="33" spans="10:14" x14ac:dyDescent="0.25">
      <c r="J33" s="7" t="str">
        <f ca="1"/>
        <v>G127</v>
      </c>
      <c r="K33" s="7" cm="1">
        <f t="array" aca="1" ref="K33" ca="1">COUNTIF(shame_strongs_arr, shame_strongs_ls)</f>
        <v>2</v>
      </c>
      <c r="L33" s="7" cm="1">
        <f t="array" aca="1" ref="L33" ca="1">SUMIF(shame_strongs_arr, shame_strongs_ls, shame_lex_counts)</f>
        <v>2</v>
      </c>
      <c r="M33" s="7">
        <f ca="1">STANDARDIZE(strongs_n, shame_strongs_mean, shame_strongs_stdev)</f>
        <v>-0.73497925983165258</v>
      </c>
      <c r="N33" s="7">
        <f ca="1">ROUND(ABS(strongs_z), 0) * IF(strongs_z &gt; 0, 1, IF(strongs_z &lt; 0, -1, 0))</f>
        <v>-1</v>
      </c>
    </row>
  </sheetData>
  <conditionalFormatting sqref="J2:N33">
    <cfRule type="expression" dxfId="0" priority="1">
      <formula>$N2&gt;=0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700F-5183-4956-B90D-BC5BAA94FCA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shame_lex</vt:lpstr>
      <vt:lpstr>shame_tbl</vt:lpstr>
      <vt:lpstr>shame_mdl</vt:lpstr>
      <vt:lpstr>shame_snky</vt:lpstr>
      <vt:lpstr>shame_mdl!shame_strongs_ls</vt:lpstr>
      <vt:lpstr>shame_strongs_mean</vt:lpstr>
      <vt:lpstr>shame_strongs_stdev</vt:lpstr>
      <vt:lpstr>shame_mdl!shame_terms_ls</vt:lpstr>
      <vt:lpstr>shame_terms_mean</vt:lpstr>
      <vt:lpstr>shame_terms_stdev</vt:lpstr>
      <vt:lpstr>shame_tbl!strongs_ls</vt:lpstr>
      <vt:lpstr>shame_mdl!strongs_n</vt:lpstr>
      <vt:lpstr>shame_mdl!strongs_z</vt:lpstr>
      <vt:lpstr>shame_mdl!terms_n</vt:lpstr>
      <vt:lpstr>shame_mdl!terms_z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Parker Oakes</dc:creator>
  <cp:lastModifiedBy>Parker Oakes</cp:lastModifiedBy>
  <dcterms:created xsi:type="dcterms:W3CDTF">2021-11-16T20:32:37Z</dcterms:created>
  <dcterms:modified xsi:type="dcterms:W3CDTF">2021-11-16T23:35:24Z</dcterms:modified>
</cp:coreProperties>
</file>